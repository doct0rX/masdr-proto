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POM_Spec" state="visible" r:id="rId5"/>
    <sheet sheetId="3" name="BOM" state="visible" r:id="rId6"/>
    <sheet sheetId="4" name="Construction" state="visible" r:id="rId7"/>
    <sheet sheetId="5" name="Colorways" state="visible" r:id="rId8"/>
    <sheet sheetId="6" name="Labels_Packaging_QC" state="visible" r:id="rId9"/>
    <sheet sheetId="7" name="Consumption" state="visible" r:id="rId10"/>
    <sheet sheetId="8" name="Assumptions" state="visible" r:id="rId11"/>
    <sheet sheetId="9" name="Readiness_Revisions" state="visible" r:id="rId12"/>
  </sheets>
  <calcPr calcId="171027"/>
</workbook>
</file>

<file path=xl/sharedStrings.xml><?xml version="1.0" encoding="utf-8"?>
<sst xmlns="http://schemas.openxmlformats.org/spreadsheetml/2006/main" count="866" uniqueCount="563">
  <si>
    <t>Reversible Cotton Twill Bucket Hat — MSDR-2609-938 / قبعة باكيت قطنية تويل قابلة للقلب على الوجهين — MSDR-2609-938</t>
  </si>
  <si>
    <t>Tech pack v1.0 · 2026-09-02 · generated by Masdr Tech Pack (claude-opus-5)</t>
  </si>
  <si>
    <t>Field</t>
  </si>
  <si>
    <t>Value</t>
  </si>
  <si>
    <t>Brand</t>
  </si>
  <si>
    <t>Nile Thread Co.</t>
  </si>
  <si>
    <t>Style number</t>
  </si>
  <si>
    <t>MSDR-2609-938</t>
  </si>
  <si>
    <t>Season</t>
  </si>
  <si>
    <t>SS27</t>
  </si>
  <si>
    <t>Category</t>
  </si>
  <si>
    <t>Headwear / أغطية الرأس</t>
  </si>
  <si>
    <t>Product type</t>
  </si>
  <si>
    <t>Bucket hat, reversible (two complete shells, no lining) / قبعة باكيت قابلة للقلب على الوجهين (جسمان كاملان بدون بطانة)</t>
  </si>
  <si>
    <t>Base size</t>
  </si>
  <si>
    <t>M</t>
  </si>
  <si>
    <t>Units</t>
  </si>
  <si>
    <t>cm, gsm, Tex, SPI</t>
  </si>
  <si>
    <t>Status</t>
  </si>
  <si>
    <t>draft</t>
  </si>
  <si>
    <t>Description</t>
  </si>
  <si>
    <t>Plain reversible bucket hat built from two complete 280 gsm 100% cotton 3/1 twill shells (F1 khaki 16-0726 TCX #A39264, F2 jet black 19-0303 TCX #2D2C2F), nested face to face with every seam allowance trapped between them, so both faces are clean and no overlock is used anywhere. Each shell = 1 crown tip circle + 2 side band panels + 2 brim halves, all 301 lockstitch, 1.0 cm seam allowance. Brim outer edge is bagged out (runstitch, trim SA to 0.7 cm, turn through an 8 cm gap at CB, press to the edge) and closed with a single topstitch row 0.6 cm from the finished edge; a stitch-in-ditch round the crown/brim seam through both shells keeps the two crowns from ballooning apart when reversed. No sweatband, no stiffener, no eyelets, no hardware. Two colorways — khaki outer / black reverse and black outer / khaki reverse — are the SAME physical hat: identical pattern, shells, threads, consumption and SAM.</t>
  </si>
  <si>
    <t>الوصف</t>
  </si>
  <si>
    <t>قبعة باكيت سادة قابلة للقلب على الوجهين، مصنوعة من جسمين كاملين من قماش تويل قطن 100% وزن 280 جم/م² بنسج 3/1 (F1 كاكي 16-0726 TCX #A39264، F2 أسود 19-0303 TCX #2D2C2F)، يُركَّب الجسمان وجهاً لوجه بحيث تُحبس كل بدلات الخياطة بينهما فيصبح الوجهان نظيفين بلا أي سرفلة. كل جسم يتكوّن من دائرة قمة التاج + لوحين للحزام + نصفي الحافة، بغرزة 301 وبدل خياطة 1.0 سم. تُخاط الحافة الخارجية مقلوبة (خياطة ثم تقليم بدل الخياطة إلى 0.7 سم والقلب عبر فتحة 8 سم عند منتصف الخلف والكي على الحافة تماماً) ثم تُغلق بصف واحد من الحياكة الزخرفية على بعد 0.6 سم من الحافة النهائية؛ كما تُنفَّذ غرزة في خط الوصل حول خط وصل التاج بالحافة عبر الجسمين لمنع انفصال التاجين عند القلب. بدون حزام عرق داخلي، وبدون تقوية، وبدون فتحات تهوية أو إكسسوارات. اللونان — كاكي خارجي/أسود داخلي وأسود خارجي/كاكي داخلي — هما نفس القبعة فعلياً: نفس الباترون والأجسام والخيوط والاستهلاك وزمن التصنيع.</t>
  </si>
  <si>
    <t>Intended use</t>
  </si>
  <si>
    <t>Everyday domestic-market casual headwear for a small Egyptian brand, first production run of 300 pcs; soft packable brim suited to sun cover and folding into a bag. Worn either face out.</t>
  </si>
  <si>
    <t>الاستخدام المقصود</t>
  </si>
  <si>
    <t>غطاء رأس كاجوال للاستخدام اليومي في السوق المصري المحلي لعلامة مصرية صغيرة، أول أمر إنتاج 300 قطعة؛ حافة طرية قابلة للطي مناسبة للحماية من الشمس وللحمل داخل الحقيبة. تُلبس من أي من الوجهين.</t>
  </si>
  <si>
    <t>Fit intent</t>
  </si>
  <si>
    <t>Relaxed classic bucket fit on a rounded dome crown with a continuous 30° drop brim. Finished inner head circumference = head girth + 1.0 cm ease (M = 59 cm for a 57–58 cm head). Zero ease at the crown tip seam — no pleats, no gathering. Brim sits flat and drops evenly all round; crown height medium (9 cm at the side band) so the hat sits on the head without covering the ears.</t>
  </si>
  <si>
    <t>Factory readiness score</t>
  </si>
  <si>
    <t>100 / 100</t>
  </si>
  <si>
    <t>Measurement specification / جدول القياسات</t>
  </si>
  <si>
    <t>All values finished cm. Edit the M column; other sizes regrade by the stated grade.</t>
  </si>
  <si>
    <t>Code</t>
  </si>
  <si>
    <t>POM (EN)</t>
  </si>
  <si>
    <t>POM (AR)</t>
  </si>
  <si>
    <t>How to measure</t>
  </si>
  <si>
    <t>S</t>
  </si>
  <si>
    <t>L</t>
  </si>
  <si>
    <t>Tol ±</t>
  </si>
  <si>
    <t>Grade</t>
  </si>
  <si>
    <t>Derivation</t>
  </si>
  <si>
    <t>Source</t>
  </si>
  <si>
    <t>Confidence</t>
  </si>
  <si>
    <t>Factory comment</t>
  </si>
  <si>
    <t>A</t>
  </si>
  <si>
    <t>Inner head circumference at crown/brim seam</t>
  </si>
  <si>
    <t>محيط الرأس الداخلي عند خط وصل التاج بالحافة</t>
  </si>
  <si>
    <t>Measure inside the hat along the crown-to-brim seam, full circumference, hat laid flat and relaxed.</t>
  </si>
  <si>
    <t>A(M) = head girth max (58) + 1 cm ease; grade ±2 cm per size</t>
  </si>
  <si>
    <t>derived</t>
  </si>
  <si>
    <t>high</t>
  </si>
  <si>
    <t/>
  </si>
  <si>
    <t>B</t>
  </si>
  <si>
    <t>Crown side height (band), tip seam to crown/brim seam</t>
  </si>
  <si>
    <t>ارتفاع جانب التاج (الحزام) من خط القمة إلى خط الحافة</t>
  </si>
  <si>
    <t>At the side seam, from the tip seam down to the crown/brim seam.</t>
  </si>
  <si>
    <t>B(M) = 9 cm; grade ±0.5 cm per size</t>
  </si>
  <si>
    <t>default</t>
  </si>
  <si>
    <t>medium</t>
  </si>
  <si>
    <t>C</t>
  </si>
  <si>
    <t>Brim width, seam to finished edge</t>
  </si>
  <si>
    <t>عرض الحافة من خط الوصل إلى الحافة النهائية</t>
  </si>
  <si>
    <t>At centre front, along the brim surface from the crown/brim seam to the finished edge.</t>
  </si>
  <si>
    <t>C = 6.5 cm, constant across sizes</t>
  </si>
  <si>
    <t>H</t>
  </si>
  <si>
    <t>Crown tip circumference at seam</t>
  </si>
  <si>
    <t>محيط قمة التاج عند خط الوصل</t>
  </si>
  <si>
    <t>Along the tip seam line, full circumference.</t>
  </si>
  <si>
    <t>H = A − band taper (2.5 cm)</t>
  </si>
  <si>
    <t>D</t>
  </si>
  <si>
    <t>Crown tip diameter, seam to seam</t>
  </si>
  <si>
    <t>قطر قمة التاج من خط إلى خط</t>
  </si>
  <si>
    <t>Across the top circle, seam line to seam line, through the centre.</t>
  </si>
  <si>
    <t>D = H / π</t>
  </si>
  <si>
    <t>E</t>
  </si>
  <si>
    <t>Total height flat, tip seam to brim edge at side</t>
  </si>
  <si>
    <t>الارتفاع الكلي مفروداً من خط القمة إلى حافة الحافة عند الجنب</t>
  </si>
  <si>
    <t>Hat laid flat, brim extended, from the tip seam to the brim edge at the side seam. Check POM = B + C.</t>
  </si>
  <si>
    <t>E = B + C (flat, brim extended; check POM)</t>
  </si>
  <si>
    <t>F</t>
  </si>
  <si>
    <t>Brim outer edge circumference</t>
  </si>
  <si>
    <t>المحيط الخارجي لحافة الحافة</t>
  </si>
  <si>
    <t>Around the finished brim edge with the brim in its natural 30° drop.</t>
  </si>
  <si>
    <t>F = A + 2π·C·cos30° (brim drafted as a 30° cone)</t>
  </si>
  <si>
    <t>W</t>
  </si>
  <si>
    <t>Full width across brim on head form, side to side</t>
  </si>
  <si>
    <t>العرض الكلي عبر الحافة على القالب من جنب إلى جنب</t>
  </si>
  <si>
    <t>On a head form, straight across the brim edge through the centre. Check POM = A/π + 2·C·cos30°.</t>
  </si>
  <si>
    <t>W = A/π + 2·C·cos30° (check POM on head form)</t>
  </si>
  <si>
    <t>G</t>
  </si>
  <si>
    <t>Brim topstitch distance from edge</t>
  </si>
  <si>
    <t>بعد الحياكة الزخرفية عن حافة الحافة</t>
  </si>
  <si>
    <t>From the finished brim edge to the single topstitch row, checked at CF, CB and both sides.</t>
  </si>
  <si>
    <t>G = 0.6 cm, 1 row(s)</t>
  </si>
  <si>
    <t>J</t>
  </si>
  <si>
    <t>Brand label position below tip seam, CB</t>
  </si>
  <si>
    <t>موضع العلامة التجارية أسفل خط القمة عند منتصف الخلف</t>
  </si>
  <si>
    <t>On the designated outer shell at CB, from the tip seam to the top edge of the brand label.</t>
  </si>
  <si>
    <t>J = 1.5 cm, constant</t>
  </si>
  <si>
    <t>Bill of materials / قائمة المواد</t>
  </si>
  <si>
    <t>Ref</t>
  </si>
  <si>
    <t>Item (EN)</t>
  </si>
  <si>
    <t>Item (AR)</t>
  </si>
  <si>
    <t>Composition</t>
  </si>
  <si>
    <t>gsm</t>
  </si>
  <si>
    <t>Width cm</t>
  </si>
  <si>
    <t>Placement</t>
  </si>
  <si>
    <t>Qty / unit</t>
  </si>
  <si>
    <t>Unit</t>
  </si>
  <si>
    <t>Colour rule</t>
  </si>
  <si>
    <t>Supplier</t>
  </si>
  <si>
    <t>Notes</t>
  </si>
  <si>
    <t>F1</t>
  </si>
  <si>
    <t>fabric</t>
  </si>
  <si>
    <t>Cotton twill shell fabric – Khaki</t>
  </si>
  <si>
    <t>قماش تويل قطن للجسم – كاكي</t>
  </si>
  <si>
    <t>3/1 right-hand twill, face side out, piece/reactive dyed, sanforized (pre-shrunk); typical construction 16s–20s Ne warp × 12s–16s Ne weft to reach target weight</t>
  </si>
  <si>
    <t>100% cotton</t>
  </si>
  <si>
    <t>Complete shell 1: crown tip ×1, side band panels ×2, brim halves ×2. Outer face in colorway CW1, reverse face in CW2 / جسم كامل 1: قمة التاج ×1، لوحا الحزام الجانبي ×2، نصفا الحافة ×2. الوجه الخارجي في اللون CW1 والوجه الداخلي في CW2</t>
  </si>
  <si>
    <t>m</t>
  </si>
  <si>
    <t>Khaki 16-0726 TCX #A39264 – per colorway table (F1 = first colour named by buyer)</t>
  </si>
  <si>
    <t>TBC by factory</t>
  </si>
  <si>
    <t>0.20 m of 150 cm goods per hat: net cut area 0.176 m² per shell ÷ 0.70 marker efficiency on 147 cm usable width, +3% shrinkage allowance, +10% buying allowance. gsm tolerance ±5% (ISO 3801); residual shrinkage ≤ 3%; relax 24 h before laying; one marker file, identical ply counts on both colour lays Buying qty 0.19 m/hat (planning 0.17 m/hat), computed from the cut sheet.</t>
  </si>
  <si>
    <t>F2</t>
  </si>
  <si>
    <t>Cotton twill shell fabric – Jet Black</t>
  </si>
  <si>
    <t>قماش تويل قطن للجسم – أسود</t>
  </si>
  <si>
    <t>Identical quality, weave and finish to F1, black lot; 3/1 right-hand twill, sanforized</t>
  </si>
  <si>
    <t>Complete shell 2: crown tip ×1, side band panels ×2, brim halves ×2. Outer face in colorway CW2, reverse face in CW1 / جسم كامل 2: قمة التاج ×1، لوحا الحزام الجانبي ×2، نصفا الحافة ×2. الوجه الخارجي في اللون CW2 والوجه الداخلي في CW1</t>
  </si>
  <si>
    <t>Jet Black 19-0303 TCX #2D2C2F – per colorway table</t>
  </si>
  <si>
    <t>Same consumption calculation as F1. Every hat needs one shell of each colour, so a shortfall in either lot stops the whole run. Black-onto-khaki staining is the critical fastness result (ISO 105-C06, grade 4 min) Buying qty 0.19 m/hat (planning 0.17 m/hat), computed from the cut sheet.</t>
  </si>
  <si>
    <t>I1</t>
  </si>
  <si>
    <t>interfacing</t>
  </si>
  <si>
    <t>Woven fusible interfacing (optional, brim only)</t>
  </si>
  <si>
    <t>مقوي حراري منسوج (اختياري للحافة فقط)</t>
  </si>
  <si>
    <t>50–70 gsm woven fusible, low-melt dot coating; not used in the default soft/packable brim build</t>
  </si>
  <si>
    <t>Polyester/cotton woven base</t>
  </si>
  <si>
    <t>If a firmer brim is approved: fuse BOTH brim sets (F1 and F2) identically, never one shell only / في حال إقرار حافة أكثر تصلباً: يتم لصق طقمي الحافة (F1 و F2) بشكل متطابق، وليس جسماً واحداً فقط</t>
  </si>
  <si>
    <t>Black only (least show-through under both shells)</t>
  </si>
  <si>
    <t>Quantity 0 in the default build. If required, allow ≈0.12 m per hat (2 brim sets) and confirm fusing parameters on a swatch; asymmetric fusing warps the brim and is a reject</t>
  </si>
  <si>
    <t>T1</t>
  </si>
  <si>
    <t>thread</t>
  </si>
  <si>
    <t>Seaming thread Tex 30 – Khaki</t>
  </si>
  <si>
    <t>خيط حياكة تكس 30 – كاكي</t>
  </si>
  <si>
    <t>Core-spun polyester, Tex 30 (Tkt 100), 301 lockstitch</t>
  </si>
  <si>
    <t>100% polyester core-spun</t>
  </si>
  <si>
    <t>All internal seams of the khaki shell (band side seams, tip attach, brim side seams, brim attach), needle and bobbin; plus needle thread on all through-both-shells seams sewn khaki-face-up / جميع الخياطات الداخلية للجسم الكاكي (خطوط جنب الحزام، تركيب القمة، خطوط جنب الحافة، تركيب الحافة) إبرة ومكوك؛ وخيط الإبرة في الخياطات المشتركة بين الجسمين عند وضع الوجه الكاكي لأعلى</t>
  </si>
  <si>
    <t>DTM F1 khaki (16-0726 TCX)</t>
  </si>
  <si>
    <t>≈152 cm of single-shell seam per shell × ≈2.6 thread consumption factor for 301 at 10–12 SPI, needle + bobbin, plus share of bag-out. Order in 5000 m cones; ≈0.002 cone/hat</t>
  </si>
  <si>
    <t>T2</t>
  </si>
  <si>
    <t>Seaming thread Tex 30 – Jet Black</t>
  </si>
  <si>
    <t>خيط حياكة تكس 30 – أسود</t>
  </si>
  <si>
    <t>All internal seams of the black shell, needle and bobbin; plus bobbin thread on all through-both-shells seams (black face down) / جميع الخياطات الداخلية للجسم الأسود إبرة ومكوك؛ وخيط المكوك في الخياطات المشتركة بين الجسمين (الوجه الأسود لأسفل)</t>
  </si>
  <si>
    <t>DTM F2 jet black (19-0303 TCX)</t>
  </si>
  <si>
    <t>Same basis as T1. Tension must be balanced so no black bobbin colour shows on the khaki face</t>
  </si>
  <si>
    <t>T3</t>
  </si>
  <si>
    <t>Topstitch thread Tex 40 – Khaki</t>
  </si>
  <si>
    <t>خيط حياكة زخرفية تكس 40 – كاكي</t>
  </si>
  <si>
    <t>Core-spun polyester, Tex 40 (Tkt 75), 301 lockstitch at 8–9 SPI</t>
  </si>
  <si>
    <t>Brim topstitch row 0.6 cm from the finished edge – needle thread when the khaki face is up; also needle thread for stitch-in-ditch in the crown/brim seam / صف الحياكة الزخرفية على بعد 0.6 سم من حافة الحافة – خيط الإبرة عند وضع الوجه الكاكي لأعلى؛ وكذلك خيط الإبرة لغرزة خط الوصل</t>
  </si>
  <si>
    <t>Brim edge circumference ≈109 cm + stitch-in-ditch ≈59 cm, thread factor ≈2.4 at 8–9 SPI</t>
  </si>
  <si>
    <t>T4</t>
  </si>
  <si>
    <t>Topstitch thread Tex 40 – Jet Black</t>
  </si>
  <si>
    <t>خيط حياكة زخرفية تكس 40 – أسود</t>
  </si>
  <si>
    <t>Brim topstitch row and stitch-in-ditch – bobbin thread (black face down) / صف الحياكة الزخرفية وغرزة خط الوصل – خيط المكوك (الوجه الأسود لأسفل)</t>
  </si>
  <si>
    <t>Needle/bobbin split gives a DTM row on each visible face of the reversible product</t>
  </si>
  <si>
    <t>L1</t>
  </si>
  <si>
    <t>label</t>
  </si>
  <si>
    <t>Main woven brand label</t>
  </si>
  <si>
    <t>علامة العلامة التجارية المنسوجة</t>
  </si>
  <si>
    <t>Woven-edge label, ≈4.0 × 2.0 cm, 4 sides folded or heat-cut soft edge, brand logo only</t>
  </si>
  <si>
    <t>100% polyester woven</t>
  </si>
  <si>
    <t>Sewn flat on the designated OUTER shell band at CB, top edge 1.5 cm below the tip seam (POM J); sewn before the band side seams / مخيطة مسطحة على حزام الجسم الخارجي المحدد عند منتصف الخلف، حافتها العلوية 1.5 سم أسفل خط القمة؛ تُخاط قبل خطوط جنب الحزام</t>
  </si>
  <si>
    <t>pcs</t>
  </si>
  <si>
    <t>Per colorway table: label ground DTM the outer shell of that colorway (khaki ground on F1 for CW1, black ground on F2 for CW2), logo in contrast</t>
  </si>
  <si>
    <t>Which shell carries L1 is the ONLY physical difference between CW1 and CW2 – the two colorways are otherwise the same hat</t>
  </si>
  <si>
    <t>L2</t>
  </si>
  <si>
    <t>Care / content / origin / size label</t>
  </si>
  <si>
    <t>بطاقة العناية والتركيب وبلد المنشأ والمقاس</t>
  </si>
  <si>
    <t>Printed satin label, ≈3.0 × 5.0 cm folded, black print on white ground, Arabic + English</t>
  </si>
  <si>
    <t>100% polyester satin</t>
  </si>
  <si>
    <t>REVERSE shell band at CB, 1.5 cm below the tip seam, sewn flat before the side seams / حزام الجسم الداخلي عند منتصف الخلف، 1.5 سم أسفل خط القمة، تُخاط مسطحة قبل خطوط الجنب</t>
  </si>
  <si>
    <t>White ground, black print in both colorways (label ground listed per colorway table as white 11-0601 TCX #F4F5F0)</t>
  </si>
  <si>
    <t>Content: 100% Cotton / Made in Egypt / manufacturer name / size with cm range (S 55–56, M 57–58, L 59–60) / ISO 3758 symbols: wash 30°C, do not bleach, do not tumble dry, iron medium, do not dry clean. Arabic + English mandatory for the Egyptian market (ES 7266-3/2023)</t>
  </si>
  <si>
    <t>L3</t>
  </si>
  <si>
    <t>Hangtag</t>
  </si>
  <si>
    <t>بطاقة معلقة</t>
  </si>
  <si>
    <t>Printed card, ≈5 × 8 cm, 300 gsm uncoated board, 4 mm eyelet-free punched hole</t>
  </si>
  <si>
    <t>Paper board</t>
  </si>
  <si>
    <t>Attached by string through the brand label L1; no tag-gun holes anywhere on the hat / تُربط بخيط عبر العلامة L1؛ بدون ثقوب مسدس التعليق في أي مكان بالقبعة</t>
  </si>
  <si>
    <t>Per colorway table: printed with the colorway name of the face shown ('Khaki outer / black reverse' or 'Black outer / khaki reverse')</t>
  </si>
  <si>
    <t>Must carry brand, style MSDR-2609-938, colorway name, size and a 'reversible' icon. Hangtag + label side are how the factory and the shop floor tell CW1 from CW2</t>
  </si>
  <si>
    <t>H1</t>
  </si>
  <si>
    <t>trim</t>
  </si>
  <si>
    <t>Hangtag string</t>
  </si>
  <si>
    <t>خيط تعليق البطاقة</t>
  </si>
  <si>
    <t>Cotton/poly string with plastic barb or knotted loop, ≈12 cm</t>
  </si>
  <si>
    <t>Cotton/polyester</t>
  </si>
  <si>
    <t>Through the L1 brand label edge and the hangtag hole / عبر حافة العلامة L1 وثقب البطاقة المعلقة</t>
  </si>
  <si>
    <t>Black only (both colorways)</t>
  </si>
  <si>
    <t>inferred</t>
  </si>
  <si>
    <t>Barb must not pierce the shell fabric – loop through the label edge only</t>
  </si>
  <si>
    <t>P1</t>
  </si>
  <si>
    <t>packaging</t>
  </si>
  <si>
    <t>Polybag with suffocation warning</t>
  </si>
  <si>
    <t>كيس بلاستيك بتحذير الاختناق</t>
  </si>
  <si>
    <t>Recycled LDPE, 25 × 30 cm, self-adhesive lip, printed suffocation warning (Arabic + English)</t>
  </si>
  <si>
    <t>Recycled LDPE</t>
  </si>
  <si>
    <t>One hat per bag, brim folded up around the crown, designated outer face showing through the bag front / قبعة واحدة لكل كيس، الحافة مطوية لأعلى حول التاج، والوجه الخارجي المحدد ظاهر من واجهة الكيس</t>
  </si>
  <si>
    <t>Clear – not a colour component</t>
  </si>
  <si>
    <t>Bag face orientation is part of the colorway definition on a two-faced product</t>
  </si>
  <si>
    <t>P2</t>
  </si>
  <si>
    <t>Size sticker</t>
  </si>
  <si>
    <t>ستيكر المقاس</t>
  </si>
  <si>
    <t>Printed self-adhesive sticker, ≈2.5 × 2.5 cm, size code S / M / L</t>
  </si>
  <si>
    <t>Paper/adhesive</t>
  </si>
  <si>
    <t>On the polybag front, bottom right corner / على واجهة الكيس، الزاوية السفلية اليمنى</t>
  </si>
  <si>
    <t>Black print on white – not a colour component</t>
  </si>
  <si>
    <t>Sticker must show size and colorway code so mixed cartons can be verified without opening bags</t>
  </si>
  <si>
    <t>P3</t>
  </si>
  <si>
    <t>Inner pack (12 pcs)</t>
  </si>
  <si>
    <t>عبوة داخلية (12 قطعة)</t>
  </si>
  <si>
    <t>Polybag or light card inner pack, single size, single colorway, 12 pcs</t>
  </si>
  <si>
    <t>LDPE / card</t>
  </si>
  <si>
    <t>Groups 12 individually bagged hats of one size and one colorway / تجمع 12 قبعة معبأة فردياً من نفس المقاس ونفس اللون</t>
  </si>
  <si>
    <t>Not a colour component</t>
  </si>
  <si>
    <t>1/12 per hat</t>
  </si>
  <si>
    <t>P4</t>
  </si>
  <si>
    <t>Export/master carton 48 pcs</t>
  </si>
  <si>
    <t>كرتونة رئيسية 48 قطعة</t>
  </si>
  <si>
    <t>5-ply corrugated carton, 4 inner packs × 12 pcs, side label with style / colorway / size / qty</t>
  </si>
  <si>
    <t>Corrugated board</t>
  </si>
  <si>
    <t>Master pack; size ratio per order / التعبئة الرئيسية؛ نسب المقاسات حسب أمر الشراء</t>
  </si>
  <si>
    <t>1/48 per hat. Carton dimensions TBC by factory after the PP sample; keep gross weight under 15 kg. 300 pcs run ≈ 6.25 cartons – confirm final size/colour ratio before printing carton labels</t>
  </si>
  <si>
    <t>Construction standards and operation sheet / معايير التصنيع وجدول العمليات</t>
  </si>
  <si>
    <t>Standard</t>
  </si>
  <si>
    <t>Stitch type</t>
  </si>
  <si>
    <t>301 lockstitch (ISO 4915) on every sewing operation; no chainstitch and no overlock anywhere – all raw edges are enclosed between the two shells</t>
  </si>
  <si>
    <t>Seam type</t>
  </si>
  <si>
    <t>SSa-1 plain superimposed seams at 1.0 cm SA (ISO 4916); brim outer edge bagged out: runstitch, trim SA to 0.7 cm, turn, single topstitch</t>
  </si>
  <si>
    <t>SPI seaming</t>
  </si>
  <si>
    <t>10–12 SPI (12–14 stitches / 3 cm)</t>
  </si>
  <si>
    <t>SPI topstitch</t>
  </si>
  <si>
    <t>8–9 SPI</t>
  </si>
  <si>
    <t>Seam allowance</t>
  </si>
  <si>
    <t>1 cm</t>
  </si>
  <si>
    <t>Topstitch</t>
  </si>
  <si>
    <t>1 row(s) at 0.6 cm from edge</t>
  </si>
  <si>
    <t>Needle</t>
  </si>
  <si>
    <t>Seaming DBx1 Nm 80/12 R point (Nm 90/14 only if skip stitches appear at seam crossings); topstitch DBx1 Nm 90/14 R point</t>
  </si>
  <si>
    <t>Thread seaming</t>
  </si>
  <si>
    <t>Core-spun polyester Tex 30 (Tkt 100) – T1 khaki / T2 black; DTM the shell being sewn, needle and bobbin</t>
  </si>
  <si>
    <t>Thread topstitch</t>
  </si>
  <si>
    <t>Core-spun polyester Tex 40 (Tkt 75) – T3 khaki needle / T4 black bobbin on every seam passing through both shells, tension balanced so no bobbin colour shows on either face</t>
  </si>
  <si>
    <t>Interfacing</t>
  </si>
  <si>
    <t>None in the default build – soft, packable brim from two plies of 280 gsm twill plus one topstitch row. If a firmer brim is approved, fuse BOTH brim sets (F1 and F2) identically with 50–70 gsm woven fusible; never one shell only</t>
  </si>
  <si>
    <t>Pressing</t>
  </si>
  <si>
    <t>Press band and brim side seams open on each shell; press the crown/brim SA toward the crown; press the bag-out seam exactly to the edge before topstitching (no roll to either face); final steam on a head form</t>
  </si>
  <si>
    <t>SAM estimate</t>
  </si>
  <si>
    <t>13.5 min — Operation-based estimate (no published headwear SAM): ≈13.5 sewing/pressing minutes per hat (≈4.1 per shell × 2, labels 0.8, bag-out/turn/topstitch/stitch-in-ditch 4.5) plus ≈2.5 finishing and ≈1.5 cutting/bundling ≈ 17.5 min total. Colorway does not change SAM. On a 300 pc first run add learning-curve allowance and confirm with a first-bundle time study.</t>
  </si>
  <si>
    <t>Step</t>
  </si>
  <si>
    <t>Operation (EN)</t>
  </si>
  <si>
    <t>Operation (AR)</t>
  </si>
  <si>
    <t>Machine</t>
  </si>
  <si>
    <t>Stitch</t>
  </si>
  <si>
    <t>SPI</t>
  </si>
  <si>
    <t>Notes (EN)</t>
  </si>
  <si>
    <t>Notes (AR)</t>
  </si>
  <si>
    <t>Cut all pieces per marker – one marker file for both colours with identical ply counts; 2 complete shells per hat (khaki set F1 + black set F2); verify shade continuity per lot</t>
  </si>
  <si>
    <t>قص جميع القطع حسب الماركر – ماركر واحد للونين وبنفس عدد الطبقات؛ جسمان كاملان لكل قبعة (طقم كاكي F1 + طقم أسود F2)؛ التأكد من تطابق درجة اللون لكل دفعة</t>
  </si>
  <si>
    <t>Cutting table / straight knife</t>
  </si>
  <si>
    <t>—</t>
  </si>
  <si>
    <t>Relax fabric 24 h before laying; lay ≤ 50 plies; notch CF, CB and both sides on tip, band and brim; keep brim halves in matched pairs; bundle one khaki set with one black set</t>
  </si>
  <si>
    <t>إراحة القماش 24 ساعة قبل الفرد؛ الطبقات ≤ 50؛ عمل علامات الأمام والخلف والجانبين على القمة والحزام والحافة؛ الاحتفاظ بنصفي الحافة كأزواج متطابقة؛ ربط كل طقم كاكي مع طقم أسود في حزمة واحدة</t>
  </si>
  <si>
    <t>Attach brand label L1 flat on the designated OUTER-shell band panel at CB, 1.5 cm below the tip seam line; attach care/size label L2 on the reverse-shell band panel at CB (both flat, before side seams)</t>
  </si>
  <si>
    <t>تثبيت العلامة L1 مسطحة على لوح حزام الجسم الخارجي المحدد عند منتصف الخلف، 1.5 سم أسفل خط القمة؛ وتثبيت بطاقة العناية والمقاس L2 على لوح حزام الجسم الداخلي عند منتصف الخلف (كلتاهما مسطحة قبل خياطة الجنب)</t>
  </si>
  <si>
    <t>Label attach / 1-needle lockstitch</t>
  </si>
  <si>
    <t>301</t>
  </si>
  <si>
    <t>10–12</t>
  </si>
  <si>
    <t>Which shell carries L1 is the only difference between CW1 and CW2; sew square and straight, DTM thread</t>
  </si>
  <si>
    <t>الجسم الحامل للعلامة L1 هو الفرق الوحيد بين اللونين CW1 و CW2؛ الخياطة مستقيمة ومربعة بخيط مطابق للون</t>
  </si>
  <si>
    <t>Join side band halves at both side seams (each shell separately); press seams open</t>
  </si>
  <si>
    <t>وصل نصفي الحزام الجانبي عند خطي الجنب (لكل جسم على حدة)؛ كي الخياطة مفتوحة</t>
  </si>
  <si>
    <t>1-needle lockstitch (DBx1)</t>
  </si>
  <si>
    <t>1.0 cm SA; backtack 3 stitches; no topstitch on internal seams</t>
  </si>
  <si>
    <t>بدل الخياطة 1.0 سم؛ تثبيت 3 غرزات عكسية؛ بدون حياكة زخرفية على الخياطات الداخلية</t>
  </si>
  <si>
    <t>Attach crown tip to band, matching CF/CB/side notches (each shell); zero ease, no pleats</t>
  </si>
  <si>
    <t>تركيب قمة التاج بالحزام مع مطابقة علامات الأمام والخلف والجانبين (لكل جسم)؛ بدون تسهيل أو كسرات</t>
  </si>
  <si>
    <t>1-needle lockstitch, cylinder bed preferred</t>
  </si>
  <si>
    <t>1.0 cm SA pressed toward the band; the tip seam is never topstitched – it is enclosed between the nested crowns</t>
  </si>
  <si>
    <t>بدل الخياطة 1.0 سم مكوي باتجاه الحزام؛ خط القمة لا يُحاك زخرفياً لأنه محصور بين التاجين</t>
  </si>
  <si>
    <t>Join brim halves at both side seams (each shell); press open</t>
  </si>
  <si>
    <t>وصل نصفي الحافة عند خطي الجنب (لكل جسم)؛ كي الخياطة مفتوحة</t>
  </si>
  <si>
    <t>1-needle lockstitch</t>
  </si>
  <si>
    <t>1.0 cm SA; brim seams must align with the band side seams</t>
  </si>
  <si>
    <t>بدل الخياطة 1.0 سم؛ يجب تطابق خياطات الحافة مع خطوط جنب الحزام</t>
  </si>
  <si>
    <t>Clip the brim inner-curve SA every 2 cm; attach the brim inner edge to the lower edge of the crown/band (each shell), matching side seams and notches</t>
  </si>
  <si>
    <t>قص شقوق في بدل خياطة المنحنى الداخلي للحافة كل 2 سم؛ تركيب الحافة الداخلية للحافة بالحافة السفلية للتاج/الحزام (لكل جسم) مع مطابقة خطوط الجنب والعلامات</t>
  </si>
  <si>
    <t>1-needle lockstitch, cylinder bed</t>
  </si>
  <si>
    <t>1.0 cm SA pressed toward the crown on both shells; no puckering on the curve</t>
  </si>
  <si>
    <t>بدل الخياطة 1.0 سم مكوي باتجاه التاج في الجسمين؛ بدون تجمعات على المنحنى</t>
  </si>
  <si>
    <t>Nest the two shells right sides together with all side seams stacked; runstitch around the brim outer edge leaving an 8 cm turning gap at CB</t>
  </si>
  <si>
    <t>تعشيق الجسمين وجهاً لوجه مع تطابق جميع خطوط الجنب؛ خياطة حول الحافة الخارجية للحافة مع ترك فتحة قلب 8 سم عند منتصف الخلف</t>
  </si>
  <si>
    <t>1.0 cm SA; needle thread DTM the face up (khaki T1), bobbin DTM the face down (black T2); backtack both gap ends</t>
  </si>
  <si>
    <t>بدل الخياطة 1.0 سم؛ خيط الإبرة مطابق للوجه العلوي (كاكي T1) والمكوك مطابق للوجه السفلي (أسود T2)؛ تثبيت عكسي عند طرفي الفتحة</t>
  </si>
  <si>
    <t>Trim the bag-out SA to 0.7 cm; snip at the gap ends; turn the hat through the gap; work the seam exactly to the edge; press</t>
  </si>
  <si>
    <t>تقليم بدل خياطة القلب إلى 0.7 سم؛ قص عند طرفي الفتحة؛ قلب القبعة عبر الفتحة؛ ضبط الخياطة على الحافة تماماً؛ كي</t>
  </si>
  <si>
    <t>Trimming / turning / pressing</t>
  </si>
  <si>
    <t>0.7 cm keeps the SA inside the 0.6 cm topstitch line so the row catches and flattens it; no roll to either face</t>
  </si>
  <si>
    <t>0.7 سم تضمن بقاء بدل الخياطة داخل خط الحياكة 0.6 سم فيثبته ويفرده؛ بدون التفاف لأي من الوجهين</t>
  </si>
  <si>
    <t>Single-row brim topstitch 0.6 cm from the finished edge, full round, closing the turning gap; needle T3 khaki, bobbin T4 black; overlap 1.5 cm at CB</t>
  </si>
  <si>
    <t>حياكة زخرفية صف واحد على بعد 0.6 سم من الحافة النهائية دورة كاملة مع إغلاق فتحة القلب؛ خيط الإبرة T3 كاكي والمكوك T4 أسود؛ تداخل 1.5 سم عند منتصف الخلف</t>
  </si>
  <si>
    <t>1-needle lockstitch (or brim stitcher)</t>
  </si>
  <si>
    <t>8–9</t>
  </si>
  <si>
    <t>The only visible topstitch on the product; check POM G = 0.6 ± 0.1 cm at CF, CB and both sides; no visible join</t>
  </si>
  <si>
    <t>الحياكة الزخرفية الظاهرة الوحيدة في المنتج؛ فحص النقطة G = 0.6 ± 0.1 سم عند الأمام والخلف والجانبين؛ بدون وصلة ظاهرة</t>
  </si>
  <si>
    <t>Stitch-in-ditch full round in the crown/brim seam through both shells, side seams stacked</t>
  </si>
  <si>
    <t>غرزة في خط الوصل دورة كاملة في خط وصل التاج بالحافة عبر الجسمين مع تطابق خطوط الجنب</t>
  </si>
  <si>
    <t>Invisible on both faces; prevents the two crowns ballooning apart when the hat is reversed; needle khaki, bobbin black</t>
  </si>
  <si>
    <t>غير ظاهرة على الوجهين؛ تمنع انتفاخ التاجين وانفصالهما عند قلب القبعة؛ إبرة كاكي ومكوك أسود</t>
  </si>
  <si>
    <t>Trim threads; final steam press on a head form; inspect both faces and measure against the POM chart</t>
  </si>
  <si>
    <t>قص الخيوط؛ الكي النهائي بالبخار على قالب الرأس؛ فحص الوجهين والقياس مقابل جدول القياسات</t>
  </si>
  <si>
    <t>Finishing / steam press</t>
  </si>
  <si>
    <t>Check no bobbin colour shows on the wrong face; check POM A, B, C, G; brim must drop evenly all round</t>
  </si>
  <si>
    <t>التأكد من عدم ظهور لون المكوك على الوجه الخطأ؛ فحص النقاط A و B و C و G؛ يجب أن تنسدل الحافة بالتساوي حول القبعة</t>
  </si>
  <si>
    <t>Attach hangtag L3 by string H1 through the brand label; fold brim up; polybag with the designated outer face showing; apply size sticker; inner pack 12 and carton per packing spec</t>
  </si>
  <si>
    <t>تعليق البطاقة L3 بالخيط H1 عبر العلامة التجارية؛ طي الحافة لأعلى؛ التعبئة في كيس بحيث يظهر الوجه الخارجي المحدد؛ لصق ستيكر المقاس؛ عبوة داخلية 12 قطعة والكرتون حسب مواصفة التعبئة</t>
  </si>
  <si>
    <t>Packing</t>
  </si>
  <si>
    <t>No tag-gun holes on a product with two outer faces; single size and single colorway per inner pack</t>
  </si>
  <si>
    <t>بدون ثقوب مسدس التعليق في منتج له وجهان خارجيان؛ مقاس واحد ولون واحد في كل عبوة داخلية</t>
  </si>
  <si>
    <t>Special notes</t>
  </si>
  <si>
    <t>Two complete shells, no separate lining and no sweatband; every seam allowance is trapped between the shells so both faces are clean. No overlock anywhere on the hat.</t>
  </si>
  <si>
    <t>'Khaki outer / black reverse' and 'black outer / khaki reverse' are the same physical hat: same pattern, same shells, same threads, same consumption and same SAM. They differ only in which shell carries the brand label L1, which face is shown in the polybag, and the hangtag print. Order as one style with two colorway codes so fabric, cutting and sewing are pooled.</t>
  </si>
  <si>
    <t>One marker file with identical ply counts on both colour lays: every hat needs one khaki shell and one black shell, so a shortfall in either colour stops the run.</t>
  </si>
  <si>
    <t>Needle/bobbin colour split on every through-both-shells seam (bag-out, brim topstitch, stitch-in-ditch): needle DTM the face up, bobbin DTM the face down, tensions balanced so no bobbin colour shows on either face.</t>
  </si>
  <si>
    <t>No brim stiffener by default – two plies of 280 gsm twill plus one topstitch row give a soft, packable brim. A firmer brim requires fusible on BOTH brim sets, never one shell only.</t>
  </si>
  <si>
    <t>Ventilation eyelets omitted by default; if required later, 4 embroidered eyelets per shell, 3.5 cm above the brim seam, 2 per side, matched through both shells.</t>
  </si>
  <si>
    <t>Bag-out SA must be trimmed to 0.7 cm – thicker leaves a ridge inside the 0.6 cm topstitch, wider than 0.7 cm risks the row missing the SA.</t>
  </si>
  <si>
    <t>Colorways / الألوان</t>
  </si>
  <si>
    <t>CW1 and CW2 are the same physical hat: one pattern, two complete 280 gsm twill shells (one khaki F1 + one black F2 in every hat), no lining and no sweatband, all seam allowances trapped between the shells. Fabric consumption, cutting, thread and SAM are identical, so order as one style with two colorway codes and pool cutting and sewing; a shortfall in either colour stops both colorways. The factory differentiates them only at three points: (1) which shell carries the main woven brand label (L1) at CB, 1.5 cm below the tip seam — the other shell carries the care/size label (L2); (2) which face is showing in the polybag — brim folded up, designated outer face out, size sticker aligned to that face; (3) the hangtag (L3) print, tied by string through the brand label. Brim topstitch is always sewn khaki face up: needle T3 khaki, bobbin T4 black, tension balanced so neither colour shows on the opposite face. Split the 300 pcs by colorway per the buyer's size/colour ratio (TBC) and keep inner packs single-size, single-colorway.</t>
  </si>
  <si>
    <t>Colorway</t>
  </si>
  <si>
    <t>Name (EN)</t>
  </si>
  <si>
    <t>Name (AR)</t>
  </si>
  <si>
    <t>Component (EN)</t>
  </si>
  <si>
    <t>Component (AR)</t>
  </si>
  <si>
    <t>Colour</t>
  </si>
  <si>
    <t>Pantone TCX</t>
  </si>
  <si>
    <t>Hex</t>
  </si>
  <si>
    <t>BOM ref</t>
  </si>
  <si>
    <t>Needle thread</t>
  </si>
  <si>
    <t>Bobbin thread</t>
  </si>
  <si>
    <t>Label side</t>
  </si>
  <si>
    <t>CW1</t>
  </si>
  <si>
    <t>Khaki outer / Jet Black reverse</t>
  </si>
  <si>
    <t>كاكي خارجي / أسود داخلي</t>
  </si>
  <si>
    <t>Outer shell (crown tip, side band, brim) — face shown in packaging</t>
  </si>
  <si>
    <t>الجسم الخارجي (قمة التاج، الحزام الجانبي، الحافة) — الوجه الظاهر في التعبئة</t>
  </si>
  <si>
    <t>Khaki</t>
  </si>
  <si>
    <t>16-0726 TCX</t>
  </si>
  <si>
    <t>#A39264</t>
  </si>
  <si>
    <t>T3 core-spun polyester Tex 40 (Tkt 75) DTM Khaki 16-0726 TCX for the brim topstitch and all seams passing through both shells; T3 Tex 30 (Tkt 100) DTM khaki for khaki-shell-only seams</t>
  </si>
  <si>
    <t>T4 core-spun polyester Tex 40 (Tkt 75) DTM Jet Black 19-0303 TCX on all through-shell seams (brim bag-out, brim topstitch, stitch-in-ditch); T4 Tex 30 DTM black for black-shell-only seams; tension balanced so no bobbin colour shows on either face</t>
  </si>
  <si>
    <t>Brand label on the KHAKI shell (F1); care/size label on the BLACK shell (F2)</t>
  </si>
  <si>
    <t>Reverse shell (crown tip, side band, brim)</t>
  </si>
  <si>
    <t>الجسم المعاكس (قمة التاج، الحزام الجانبي، الحافة)</t>
  </si>
  <si>
    <t>Jet Black</t>
  </si>
  <si>
    <t>19-0303 TCX</t>
  </si>
  <si>
    <t>#2D2C2F</t>
  </si>
  <si>
    <t>Brim topstitch — needle thread (khaki face up)</t>
  </si>
  <si>
    <t>الحياكة الزخرفية للحافة — خيط الإبرة (الوجه الكاكي لأعلى)</t>
  </si>
  <si>
    <t>Brim topstitch — bobbin thread (black face down)</t>
  </si>
  <si>
    <t>الحياكة الزخرفية للحافة — خيط المكوك (الوجه الأسود لأسفل)</t>
  </si>
  <si>
    <t>Main woven brand label ground — sewn on the khaki shell band at CB</t>
  </si>
  <si>
    <t>أرضية العلامة التجارية المنسوجة — مخيطة على حزام الجسم الكاكي عند منتصف الخلف</t>
  </si>
  <si>
    <t>Care / content / origin label ground — sewn on the black shell band at CB</t>
  </si>
  <si>
    <t>أرضية بطاقة العناية والتركيب وبلد المنشأ — مخيطة على حزام الجسم الأسود عند منتصف الخلف</t>
  </si>
  <si>
    <t>Hangtag stock — colorway name printed 'Khaki outer / Black reverse'</t>
  </si>
  <si>
    <t>بطاقة التعليق — مطبوع عليها اسم اللون "كاكي خارجي / أسود داخلي"</t>
  </si>
  <si>
    <t>CW2</t>
  </si>
  <si>
    <t>Jet Black outer / Khaki reverse</t>
  </si>
  <si>
    <t>أسود خارجي / كاكي داخلي</t>
  </si>
  <si>
    <t>Identical to CW1: T3 Tex 40 DTM Khaki on the topstitch and all through-shell seams (sewn khaki face up regardless of colorway); T3 Tex 30 DTM black for black-shell-only seams</t>
  </si>
  <si>
    <t>Identical to CW1: T4 Tex 40 DTM Jet Black on all through-shell seams; T4 Tex 30 DTM khaki for khaki-shell-only seams</t>
  </si>
  <si>
    <t>Brand label on the BLACK shell (F2); care/size label on the KHAKI shell (F1)</t>
  </si>
  <si>
    <t>Brim topstitch — needle thread (khaki face up during sewing)</t>
  </si>
  <si>
    <t>الحياكة الزخرفية للحافة — خيط الإبرة (الوجه الكاكي لأعلى أثناء الخياطة)</t>
  </si>
  <si>
    <t>Brim topstitch — bobbin thread (black face down during sewing)</t>
  </si>
  <si>
    <t>الحياكة الزخرفية للحافة — خيط المكوك (الوجه الأسود لأسفل أثناء الخياطة)</t>
  </si>
  <si>
    <t>Main woven brand label ground — sewn on the black shell band at CB</t>
  </si>
  <si>
    <t>أرضية العلامة التجارية المنسوجة — مخيطة على حزام الجسم الأسود عند منتصف الخلف</t>
  </si>
  <si>
    <t>Care / content / origin label ground — sewn on the khaki shell band at CB</t>
  </si>
  <si>
    <t>أرضية بطاقة العناية والتركيب وبلد المنشأ — مخيطة على حزام الجسم الكاكي عند منتصف الخلف</t>
  </si>
  <si>
    <t>Hangtag stock — colorway name printed 'Black outer / Khaki reverse'</t>
  </si>
  <si>
    <t>بطاقة التعليق — مطبوع عليها اسم اللون "أسود خارجي / كاكي داخلي"</t>
  </si>
  <si>
    <t>Labels / البطاقات</t>
  </si>
  <si>
    <t>Type</t>
  </si>
  <si>
    <t>Placement (EN)</t>
  </si>
  <si>
    <t>Placement (AR)</t>
  </si>
  <si>
    <t>Content (EN)</t>
  </si>
  <si>
    <t>Content (AR)</t>
  </si>
  <si>
    <t>Main woven brand label (L1)</t>
  </si>
  <si>
    <t>Sewn flat on the designated outer shell, side band at CB, top edge 1.5 cm below the tip seam line (POM J), before the band side seams are closed</t>
  </si>
  <si>
    <t>مخيطة مسطحة على الجسم الخارجي المحدد، الحزام الجانبي عند منتصف الخلف، الحافة العلوية على بعد 1.5 سم أسفل خط القمة (نقطة القياس J)، قبل إغلاق خطوط جنب الحزام</t>
  </si>
  <si>
    <t>Nile Thread Co. brand logo, woven; khaki logo on black ground</t>
  </si>
  <si>
    <t>شعار Nile Thread Co. منسوج؛ شعار كاكي على أرضية سوداء</t>
  </si>
  <si>
    <t>Which shell carries this label defines the colorway (CW1 = khaki shell, CW2 = black shell). All four sides stitched down, 301 lockstitch, 10–12 SPI, no folded ends showing. Size approx. 4.0 × 2.0 cm (woven-edge label, 4 sides folded or heat-cut soft edge) per BOM ref L1, TBC by factory label supplier.</t>
  </si>
  <si>
    <t>Care / content / origin + size label (L2)</t>
  </si>
  <si>
    <t>Reverse shell, side band at CB, top edge 1.5 cm below the tip seam, sewn flat before the side seams</t>
  </si>
  <si>
    <t>الجسم المعاكس، الحزام الجانبي عند منتصف الخلف، الحافة العلوية 1.5 سم أسفل خط القمة، مخيطة مسطحة قبل خطوط الجنب</t>
  </si>
  <si>
    <t>100% Cotton / Made in Egypt / manufacturer name / size with head-girth range: S (55–56 cm), M (57–58 cm), L (59–60 cm) / ISO 3758 care symbols: wash 30°C, do not bleach, do not tumble dry, iron medium, do not dry clean / 'Reversible — wash separately before first use'</t>
  </si>
  <si>
    <t>100% قطن / صنع في مصر / اسم المصنع / المقاس مع نطاق محيط الرأس: S (55–56 سم)، M (57–58 سم)، L (59–60 سم) / رموز العناية ISO 3758: غسيل 30 درجة، لا تبييض، لا تجفيف بالمجفف، كي متوسط، لا تنظيف جاف / "قابلة للقلب — تُغسل منفردة قبل أول استخدام"</t>
  </si>
  <si>
    <t>Arabic and English on the same label, printed satin ≈3.0 × 5.0 cm folded (per BOM ref L2), black on Bright White ground; obligatory under ES 7266-3/2023 for the Egyptian domestic market. Size and care combined on one label to keep only one label per shell.</t>
  </si>
  <si>
    <t>Size label</t>
  </si>
  <si>
    <t>Combined with the care label (L2) — no separate size label</t>
  </si>
  <si>
    <t>مدمجة مع بطاقة العناية (L2) — لا توجد بطاقة مقاس منفصلة</t>
  </si>
  <si>
    <t>S (55–56 cm) / M (57–58 cm) / L (59–60 cm), alpha size plus head-girth range per EN 13402 practice</t>
  </si>
  <si>
    <t>S (55–56 سم) / M (57–58 سم) / L (59–60 سم)، المقاس الحرفي مع نطاق محيط الرأس حسب ممارسة EN 13402</t>
  </si>
  <si>
    <t>Size also repeated on the polybag sticker and the hangtag.</t>
  </si>
  <si>
    <t>Hangtag (L3)</t>
  </si>
  <si>
    <t>Tied by cotton string through the main brand label; no tag-gun holes anywhere on the hat</t>
  </si>
  <si>
    <t>مربوطة بخيط قطني عبر العلامة التجارية الرئيسية؛ بدون أي ثقوب مسدس تعليق في القبعة</t>
  </si>
  <si>
    <t>Nile Thread Co. / MSDR-2609-938 / SS27 / colorway name (Khaki outer–Black reverse or Black outer–Khaki reverse) / size / reversible icon showing both faces</t>
  </si>
  <si>
    <t>Nile Thread Co. / MSDR-2609-938 / SS27 / اسم اللون (كاكي خارجي–أسود داخلي أو أسود خارجي–كاكي داخلي) / المقاس / رمز يوضح إمكانية القلب بوجهين</t>
  </si>
  <si>
    <t>The hangtag print and the label side are the only ways to tell CW1 from CW2 on a finished hat; tag-gun is banned because both faces are outer faces. Board stock ≈5 × 8 cm, 300 gsm uncoated board with punched hole (per BOM ref L3), dimensions/finish TBC by factory.</t>
  </si>
  <si>
    <t>Packaging / التعبئة</t>
  </si>
  <si>
    <t>Method</t>
  </si>
  <si>
    <t>Items</t>
  </si>
  <si>
    <t>Carton note</t>
  </si>
  <si>
    <t xml:space="preserve">Fold the brim up around the crown, one hat per polybag with the designated outer face showing through the front of the bag and the size sticker on that same face; 12 hats per inner pack, single size and single colorway; export/delivery carton 48 pcs (4 inner packs of 12) with size ratio per order.
طي الحافة لأعلى حول التاج، قبعة واحدة في كل كيس بحيث يظهر الوجه الخارجي المحدد من مقدمة الكيس مع استيكر المقاس على نفس الوجه؛ 12 قبعة في العبوة الداخلية بمقاس واحد ولون واحد؛ كرتون التسليم 48 قطعة (4 عبوات داخلية × 12) بنسبة المقاسات حسب الطلب.</t>
  </si>
  <si>
    <t xml:space="preserve">P1 — Polybag with suffocation warning in Arabic and English, 25 × 30 cm, recycled LDPE
P2 — Size + colorway sticker (≈2.5 × 2.5 cm) on the polybag, aligned to the designated outer face
P3 — Inner pack of 12, single size, single colorway, labelled style / colorway / size / qty
P4 — Master carton 48 pcs, 5-ply, labelled Nile Thread Co. / MSDR-2609-938 / colorway code / size / qty / gross weight
H1 — Hangtag string (cotton/polyester, ≈12 cm, no tag-gun)</t>
  </si>
  <si>
    <t>Carton dimensions TBC by factory after the PP sample (folded hat height governs); keep cartons under 15 kg. With a 300 pc run expect approx. 6.25 master cartons; final carton count and size/colour ratio TBC by buyer PO.</t>
  </si>
  <si>
    <t>Quality control / مراقبة الجودة</t>
  </si>
  <si>
    <t>ISO 2859-1 General Inspection Level II, AQL 2.5 major / 4.0 minor; first production run — add an in-line audit after the first bundle of each colorway and a 100% visual check of both faces at finishing.</t>
  </si>
  <si>
    <t>Check (EN)</t>
  </si>
  <si>
    <t>Check (AR)</t>
  </si>
  <si>
    <t>Measure 10 pcs per size against the POM chart; inner head circumference (A) within ±1.0 cm of spec (M = 59 cm)</t>
  </si>
  <si>
    <t>قياس 10 قطع لكل مقاس مقابل جدول القياسات؛ محيط الرأس الداخلي (A) ضمن ±1.0 سم من المواصفة (مقاس M = 59 سم)</t>
  </si>
  <si>
    <t>Brim topstitch (G) 6 ± 1 mm from the finished edge at CF, CB and both sides, continuous, gap closure invisible, 1.5 cm overlap at CB</t>
  </si>
  <si>
    <t>الحياكة الزخرفية للحافة (G) على بعد 6 ± 1 مم من الحافة النهائية عند الأمام والخلف والجانبين، مستمرة، وإغلاق الفتحة غير ظاهر، مع تداخل 1.5 سم عند منتصف الخلف</t>
  </si>
  <si>
    <t>No bobbin colour visible on the wrong face on the brim topstitch, bag-out seam or stitch-in-ditch; no shading between panels of the same colour or between shells of the same lot</t>
  </si>
  <si>
    <t>عدم ظهور لون خيط المكوك على الوجه الخطأ في الحياكة الزخرفية أو خياطة القلب أو الغرزة في خط الوصل؛ عدم اختلاف درجة اللون بين الأجزاء أو بين الجسمين من نفس الدفعة</t>
  </si>
  <si>
    <t>Brim edge seam sits exactly on the edge, no roll to either face; brim drops evenly all round at approx. 30°</t>
  </si>
  <si>
    <t>خياطة حافة الحافة تقع على الحافة تماماً دون التفاف لأي وجه؛ الحافة تنسدل بالتساوي حول القبعة بزاوية 30 درجة تقريباً</t>
  </si>
  <si>
    <t>Crown tip seam smooth with no pleats; side seams stacked and aligned across band and brim on both shells</t>
  </si>
  <si>
    <t>خط قمة التاج أملس بدون كسرات؛ خطوط الجنب متطابقة بين الحزام والحافة في الجسمين</t>
  </si>
  <si>
    <t>Correct label side per colorway: brand label (L1) on the designated outer shell, care/size label (L2) on the reverse shell, both straight and 1.5 cm below the tip seam (POM J ±0.3 cm)</t>
  </si>
  <si>
    <t>صحة جهة البطاقات حسب اللون: العلامة التجارية (L1) على الجسم الخارجي المحدد وبطاقة العناية والمقاس (L2) على الجسم المعاكس، كلتاهما مستقيمة على بعد 1.5 سم أسفل خط القمة (نقطة القياس J ±0.3 سم)</t>
  </si>
  <si>
    <t>Polybag shows the designated outer face; size sticker and hangtag colorway name match the label side</t>
  </si>
  <si>
    <t>الكيس يظهر الوجه الخارجي المحدد؛ استيكر المقاس واسم اللون على بطاقة التعليق مطابقان لجهة البطاقة</t>
  </si>
  <si>
    <t>Both faces free of stains, chalk marks, needle holes, trimmed-thread ends and loose threads; hat reverses without distortion</t>
  </si>
  <si>
    <t>الوجهان خاليان من البقع وعلامات الطباشير وثقوب الإبرة وأطراف الخيوط السائبة؛ القبعة تُقلب بدون تشوه</t>
  </si>
  <si>
    <t>Lab / fabric tests</t>
  </si>
  <si>
    <t>Fabric weight 280 gsm ± 5% (ISO 3801) on each colour lot before cutting</t>
  </si>
  <si>
    <t>Dimensional stability to washing ≤ 3% (ISO 6330 / ISO 5077), khaki and black lots tested in the same load</t>
  </si>
  <si>
    <t>Colour fastness to washing grade 4 min (ISO 105-C06); black staining onto khaki is the critical result and gates approval of the reversible construction</t>
  </si>
  <si>
    <t>Colour fastness to rubbing dry grade 4 / wet grade 3 min (ISO 105-X12), black shell tested against khaki multifibre</t>
  </si>
  <si>
    <t>Colour fastness to perspiration (ISO 105-E04) grade 4 min — headwear contacts the forehead on both faces</t>
  </si>
  <si>
    <t>Seam strength spot check on the brim bag-out seam and the crown/brim seam</t>
  </si>
  <si>
    <t>One washed reversible wear trial on the PP sample: reverse after washing and check no black crocking onto the khaki face</t>
  </si>
  <si>
    <t>Fabric consumption / استهلاك القماش</t>
  </si>
  <si>
    <t>Net area per shell = Σ pattern pieces incl. 1 cm SA = 1679.3 cm²  |  Gross area = net ÷ marker efficiency (0.7) = 2399 cm²  |  Metres per hat per colour (planning) = gross ÷ usable width (147 cm) × (1 + 3% shrinkage) = 0.17 m  |  Buying quantity = planning × (1 + 10% for lot shading, end losses and shrinkage variance), rounded up = 0.19 m per hat per colour (this is the BOM figure)  |  Run total per colour = buying quantity × run quantity = 0.19 × 300 = 57 m  |  Fabric weight per shell = net area × 280 gsm = 47 g  |  One reversible hat consumes one shell of EACH colour; both colorways use identical quantities, so pool the fabric order across colorways</t>
  </si>
  <si>
    <t>Run quantity (edit)</t>
  </si>
  <si>
    <t>Net area cm² / shell</t>
  </si>
  <si>
    <t>Gross area cm²</t>
  </si>
  <si>
    <t>Metres per unit</t>
  </si>
  <si>
    <t>Grams per unit</t>
  </si>
  <si>
    <t>Run total metres</t>
  </si>
  <si>
    <t>Parameter</t>
  </si>
  <si>
    <t>Fabric width cm</t>
  </si>
  <si>
    <t>Usable width cm</t>
  </si>
  <si>
    <t>Marker efficiency</t>
  </si>
  <si>
    <t>Shrinkage allowance %</t>
  </si>
  <si>
    <t>Pattern piece (EN)</t>
  </si>
  <si>
    <t>Pattern piece (AR)</t>
  </si>
  <si>
    <t>Qty / shell</t>
  </si>
  <si>
    <t>Qty total</t>
  </si>
  <si>
    <t>Cut dimensions (M)</t>
  </si>
  <si>
    <t>Crown tip (top circle)</t>
  </si>
  <si>
    <t>قمة التاج (الدائرة العلوية)</t>
  </si>
  <si>
    <t>Circle Ø 20 cm (finished Ø 18)</t>
  </si>
  <si>
    <t>Cut diameter = D + 2 × SA; grain CF–CB; notch at CF, CB and both sides. Net cut area 314.2 cm² per shell.</t>
  </si>
  <si>
    <t>Side band (crown) panel</t>
  </si>
  <si>
    <t>لوح الحزام الجانبي (التاج)</t>
  </si>
  <si>
    <t>Trapezoid: bottom 31.5 cm, top 30.3 cm, height 11 cm</t>
  </si>
  <si>
    <t>Bottom edge = A/2 + 2 × SA, top edge = H/2 + 2 × SA, height = B + 2 × SA; warp along the circumference; seams at both sides. Net cut area 679.3 cm² per shell.</t>
  </si>
  <si>
    <t>Brim half (cone sector)</t>
  </si>
  <si>
    <t>نصف الحافة (قطاع مخروطي)</t>
  </si>
  <si>
    <t>Cone sector: inner R 9.8 cm, outer R 18.3 cm, 155.9° per half (+1 cm SA on straight ends)</t>
  </si>
  <si>
    <t>Developed 30° cone: inner radius = A/(2π·cos30°) − SA, outer radius = inner + C + 2 × SA, sector 155.9° per half; seams at both sides aligned with band seams; grain on the centre radius. Net cut area 685.8 cm² per shell.</t>
  </si>
  <si>
    <t>Assumptions / الافتراضات</t>
  </si>
  <si>
    <t>Impact</t>
  </si>
  <si>
    <t>Assumption (EN)</t>
  </si>
  <si>
    <t>Assumption (AR)</t>
  </si>
  <si>
    <t>Buyer named khaki first, so F1 = Khaki 16-0726 TCX #A39264 and F2 = Jet Black 19-0303 TCX #2D2C2F; the image's lighter khaki (#C9B688) and pure black (#161616) are read as illustration shading, not colour targets. Confidence high on black, medium on khaki depth.</t>
  </si>
  <si>
    <t>ذكر العميل الكاكي أولاً، لذلك F1 = كاكي 16-0726 TCX #A39264 و F2 = أسود 19-0303 TCX #2D2C2F؛ الكاكي الأفتح (#C9B688) والأسود الصريح (#161616) في الصورة يُعتبران تظليل رسم لا هدفاً لونياً. الثقة عالية في الأسود ومتوسطة في عمق الكاكي.</t>
  </si>
  <si>
    <t>Split of the 300 pcs between CW1 and CW2 and across S/M/L not stated; assumed 50/50 by colorway and 25/50/25 by size for label, sticker and carton planning.</t>
  </si>
  <si>
    <t>لم تُحدد نسبة توزيع 300 قطعة بين CW1 و CW2 ولا بين المقاسات S/M/L؛ افترضنا 50/50 بين اللونين و25/50/25 بين المقاسات لتخطيط البطاقات والاستيكرات والكراتين.</t>
  </si>
  <si>
    <t>No stiffener/fusible used: brim is soft and packable from two plies of 280 gsm twill plus one topstitch row (rulebook default, BOM ref I1 quantity 0). If a firmer brim is wanted, both brim sets must be fused identically.</t>
  </si>
  <si>
    <t>بدون تيلة أو حشو: الحافة طرية وقابلة للطي من طبقتين تويل 280 جرام/م² مع صف حياكة واحد (الافتراضي، مرجع I1 بكمية صفر). إذا طُلبت حافة أكثر صلابة يجب تيلة طقمي الحافة بنفس الطريقة.</t>
  </si>
  <si>
    <t>low</t>
  </si>
  <si>
    <t>Brand label colour confirmed per BOM: woven khaki logo on a black ground so it reads on both shells. Label dimensions ≈4.0 × 2.0 cm; weave type TBC.</t>
  </si>
  <si>
    <t>لون العلامة التجارية مؤكد حسب قائمة المواد: شعار كاكي منسوج على أرضية سوداء ليظهر على الجسمين. أبعاد البطاقة ≈4.0 × 2.0 سم؛ نوع النسيج غير محدد.</t>
  </si>
  <si>
    <t>Ventilation eyelets omitted (none in the flat). If added later they must be 4 embroidered eyelets per shell, 3.5 cm above the brim seam, adding cost and an embroidery operation.</t>
  </si>
  <si>
    <t>تم حذف فتحات التهوية (غير موجودة في الرسم). إذا أُضيفت لاحقاً يجب أن تكون 4 عيون مطرزة لكل جسم على ارتفاع 3.5 سم أعلى خط الحافة، مع زيادة في التكلفة وعملية تطريز.</t>
  </si>
  <si>
    <t>Brim topstitch always sewn khaki face up (needle khaki, bobbin black) in both colorways to keep one thread setup for the whole run; this means the black face carries a black-bobbin row and the khaki face a khaki-needle row.</t>
  </si>
  <si>
    <t>تُخاط الحياكة الزخرفية دائماً والوجه الكاكي لأعلى (إبرة كاكي، مكوك أسود) في اللونين للحفاظ على إعداد خيط واحد للتشغيلة؛ أي أن الوجه الأسود يحمل صف مكوك أسود والوجه الكاكي صف إبرة كاكي.</t>
  </si>
  <si>
    <t>Polybag 25 × 30 cm recycled LDPE and inner pack of 12 taken as rulebook default per BOM refs P1/P3; no buyer packaging brief received.</t>
  </si>
  <si>
    <t>الكيس 25 × 30 سم من LDPE المعاد تصنيعه والعبوة الداخلية 12 قطعة حسب الافتراضي (مرجع P1/P3)؛ لم يصل أي دليل تعبئة من العميل.</t>
  </si>
  <si>
    <t>Hangtag is 300 gsm board with cotton/poly string (H1), no tag-gun, to avoid holes on a product with two outer faces; hangtag finish TBC.</t>
  </si>
  <si>
    <t>بطاقة التعليق من كرتون 300 جرام بخيط قطني/بوليستر (H1) بدون مسدس تعليق لتجنب الثقوب في منتج بوجهين خارجيين؛ التشطيب غير محدد.</t>
  </si>
  <si>
    <t>Care label bilingual Arabic/English printed satin, black on white, per ES 7266-3/2023 for the domestic Egyptian market; manufacturer name to be inserted by the factory.</t>
  </si>
  <si>
    <t>بطاقة العناية بلغتين عربي/إنجليزي مطبوعة على ساتان أسود على أبيض حسب ES 7266-3/2023 للسوق المصري المحلي؛ يضيف المصنع اسم المُصنِّع.</t>
  </si>
  <si>
    <t>Questions for the factory / أسئلة للمصنع</t>
  </si>
  <si>
    <t>Question (EN)</t>
  </si>
  <si>
    <t>Question (AR)</t>
  </si>
  <si>
    <t>Factory answer</t>
  </si>
  <si>
    <t>What is the residual shrinkage of your actual khaki and black twill lots after ISO 6330 wash, and are both lots within 3%? A mismatch between the two shells will twist the reversible brim.</t>
  </si>
  <si>
    <t>ما نسبة الانكماش المتبقي في دفعتي التويل الكاكي والأسود الفعليتين بعد الغسيل ISO 6330، وهل كلتاهما ضمن 3%؟ اختلاف الجسمين يسبب التواء حافة القبعة القابلة للقلب.</t>
  </si>
  <si>
    <t>Do you hold core-spun polyester Tex 30 and Tex 40 in stock DTM Khaki 16-0726 and Jet Black 19-0303, or is a thread lab dip needed (and what lead time)?</t>
  </si>
  <si>
    <t>هل يتوفر لديكم خيط بوليستر ملبّس Tex 30 و Tex 40 بلون مطابق للكاكي 16-0726 والأسود 19-0303 في المخزون، أم يلزم عمل لاب ديب للخيط؟ وما مدة التوريد؟</t>
  </si>
  <si>
    <t>Can your label supplier produce the woven brand label and the bilingual care/size label for a 300 pc run, and what are the minimum order quantities and lead times per colorway?</t>
  </si>
  <si>
    <t>هل يستطيع مورد البطاقات إنتاج العلامة المنسوجة وبطاقة العناية/المقاس بلغتين لتشغيلة 300 قطعة؟ وما الحد الأدنى للكمية ومدة التوريد لكل لون؟</t>
  </si>
  <si>
    <t>Has the black lot been tested for crocking onto khaki (ISO 105-X12 wet and ISO 105-E04)? If wet rubbing is below grade 3 the reversible construction needs a fixing/after-wash treatment.</t>
  </si>
  <si>
    <t>هل تم اختبار زحف لون الأسود على الكاكي (ISO 105-X12 مبلل و ISO 105-E04)؟ إذا كان الحك المبلل أقل من درجة 3 فستحتاج القبعة القابلة للقلب معالجة تثبيت أو غسيل بعد الإنتاج.</t>
  </si>
  <si>
    <t>Do you have a cylinder-bed lockstitch machine for the crown tip and brim attach, and a brim stitcher for the 0.6 cm topstitch, or should we allow extra SAM for a flat-bed workaround?</t>
  </si>
  <si>
    <t>هل يتوفر لديكم ماكينة غرزة قفل بقاعدة أسطوانية لتركيب قمة التاج والحافة، وماكينة حياكة حافة للصف على بعد 0.6 سم، أم نضيف زمناً إضافياً للعمل على ماكينة قاعدة مسطحة؟</t>
  </si>
  <si>
    <t>Confirm final master carton internal dimensions and gross weight after the PP sample, based on the folded-brim hat height.</t>
  </si>
  <si>
    <t>تأكيد الأبعاد الداخلية النهائية لكرتون التصدير والوزن القائم بعد العينة التجريبية، بناءً على ارتفاع القبعة بالحافة المطوية.</t>
  </si>
  <si>
    <t>Can you cut both colours from one marker file with identical ply counts and guarantee shade continuity per lot, given every hat needs one khaki and one black shell?</t>
  </si>
  <si>
    <t>هل يمكن قص اللونين من ملف ماركر واحد بنفس عدد الطبقات مع ضمان تطابق درجة اللون لكل دفعة، بما أن كل قبعة تحتاج جسماً كاكي وجسماً أسود؟</t>
  </si>
  <si>
    <t>If a firmer brim is later approved, do you stock 50–70 gsm woven fusible and what is your fusing press capacity for both brim sets?</t>
  </si>
  <si>
    <t>في حال الموافقة لاحقاً على حافة أكثر صلابة، هل يتوفر لديكم تيلة لاصقة منسوجة 50–70 جرام/م²؟ وما طاقة مكبس اللصق لطقمي الحافة؟</t>
  </si>
  <si>
    <t>Factory readiness 100/100</t>
  </si>
  <si>
    <t>Check</t>
  </si>
  <si>
    <t>Pass</t>
  </si>
  <si>
    <t>Note</t>
  </si>
  <si>
    <t>Graded spec chart with tolerances for 3+ sizes</t>
  </si>
  <si>
    <t>✔</t>
  </si>
  <si>
    <t>10 POMs</t>
  </si>
  <si>
    <t>Every POM has a how-to-measure instruction</t>
  </si>
  <si>
    <t>POMs anchored on technical flats</t>
  </si>
  <si>
    <t>BOM lists fabric with composition, gsm and width</t>
  </si>
  <si>
    <t>BOM lists thread with Tex/ticket</t>
  </si>
  <si>
    <t>Labels: brand, care/content/origin, size</t>
  </si>
  <si>
    <t>Construction: stitch type, SPI, seam allowance, needle</t>
  </si>
  <si>
    <t>Operation sheet with machine per step</t>
  </si>
  <si>
    <t>Colours referenced by Pantone TCX and hex, not names only</t>
  </si>
  <si>
    <t>Fabric consumption per unit computed</t>
  </si>
  <si>
    <t>Packaging and carton instructions</t>
  </si>
  <si>
    <t>QC: AQL and inspection checks</t>
  </si>
  <si>
    <t>Assumptions and open questions listed for the factory</t>
  </si>
  <si>
    <t>Bilingual Arabic gloss on POMs and operations</t>
  </si>
  <si>
    <t>No validation errors</t>
  </si>
  <si>
    <t>Revision log</t>
  </si>
  <si>
    <t>Version</t>
  </si>
  <si>
    <t>Date</t>
  </si>
  <si>
    <t>Author</t>
  </si>
  <si>
    <t>Change</t>
  </si>
  <si>
    <t>1.0</t>
  </si>
  <si>
    <t>2026-09-02</t>
  </si>
  <si>
    <t>Masdr Tech Pack AI</t>
  </si>
  <si>
    <t>Initial generation from reference image and buyer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</si>
</sst>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251670"/>
      <sz val="14"/>
    </font>
    <font>
      <color rgb="FF6B7280"/>
      <sz val="9"/>
    </font>
    <font>
      <b/>
      <color rgb="FFFFFFFF"/>
      <sz val="10"/>
    </font>
    <font>
      <sz val="10"/>
    </font>
    <font>
      <b/>
      <color rgb="FF5F50BC"/>
    </font>
  </fonts>
  <fills count="4">
    <fill>
      <patternFill patternType="none"/>
    </fill>
    <fill>
      <patternFill patternType="gray125"/>
    </fill>
    <fill>
      <patternFill patternType="solid">
        <fgColor rgb="FF251670"/>
      </patternFill>
    </fill>
    <fill>
      <patternFill patternType="solid">
        <fgColor rgb="FFF1F4F6"/>
      </patternFill>
    </fill>
  </fills>
  <borders count="2">
    <border>
      <left/>
      <right/>
      <top/>
      <bottom/>
      <diagonal/>
    </border>
    <border>
      <left style="thin">
        <color rgb="FFE3E8ED"/>
      </left>
      <right style="thin">
        <color rgb="FFE3E8ED"/>
      </right>
      <top style="thin">
        <color rgb="FFE3E8ED"/>
      </top>
      <bottom style="thin">
        <color rgb="FFE3E8ED"/>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8"/>
  <sheetViews>
    <sheetView workbookViewId="0" showGridLines="0"/>
  </sheetViews>
  <sheetFormatPr defaultRowHeight="15" outlineLevelRow="0" outlineLevelCol="0" x14ac:dyDescent="55"/>
  <cols>
    <col min="1" max="1" width="28" customWidth="1"/>
    <col min="2" max="2" width="110" customWidth="1"/>
  </cols>
  <sheetData>
    <row r="1" spans="1:1" s="1" customFormat="1" x14ac:dyDescent="0.25">
      <c r="A1" s="1" t="s">
        <v>0</v>
      </c>
    </row>
    <row r="2" spans="1:1" s="2" customFormat="1" x14ac:dyDescent="0.25">
      <c r="A2" s="2" t="s">
        <v>1</v>
      </c>
    </row>
    <row r="4" spans="1:2" x14ac:dyDescent="0.25">
      <c r="A4" s="3" t="s">
        <v>2</v>
      </c>
      <c r="B4" s="3" t="s">
        <v>3</v>
      </c>
    </row>
    <row r="5" spans="1:2" x14ac:dyDescent="0.25">
      <c r="A5" s="4" t="s">
        <v>4</v>
      </c>
      <c r="B5" s="4" t="s">
        <v>5</v>
      </c>
    </row>
    <row r="6" spans="1:2" x14ac:dyDescent="0.25">
      <c r="A6" s="5" t="s">
        <v>6</v>
      </c>
      <c r="B6" s="5" t="s">
        <v>7</v>
      </c>
    </row>
    <row r="7" spans="1:2" x14ac:dyDescent="0.25">
      <c r="A7" s="4" t="s">
        <v>8</v>
      </c>
      <c r="B7" s="4" t="s">
        <v>9</v>
      </c>
    </row>
    <row r="8" spans="1:2" x14ac:dyDescent="0.25">
      <c r="A8" s="5" t="s">
        <v>10</v>
      </c>
      <c r="B8" s="5" t="s">
        <v>11</v>
      </c>
    </row>
    <row r="9" spans="1:2" x14ac:dyDescent="0.25">
      <c r="A9" s="4" t="s">
        <v>12</v>
      </c>
      <c r="B9" s="4" t="s">
        <v>13</v>
      </c>
    </row>
    <row r="10" spans="1:2" x14ac:dyDescent="0.25">
      <c r="A10" s="5" t="s">
        <v>14</v>
      </c>
      <c r="B10" s="5" t="s">
        <v>15</v>
      </c>
    </row>
    <row r="11" spans="1:2" x14ac:dyDescent="0.25">
      <c r="A11" s="4" t="s">
        <v>16</v>
      </c>
      <c r="B11" s="4" t="s">
        <v>17</v>
      </c>
    </row>
    <row r="12" spans="1:2" x14ac:dyDescent="0.25">
      <c r="A12" s="5" t="s">
        <v>18</v>
      </c>
      <c r="B12" s="5" t="s">
        <v>19</v>
      </c>
    </row>
    <row r="13" spans="1:2" x14ac:dyDescent="0.25">
      <c r="A13" s="4" t="s">
        <v>20</v>
      </c>
      <c r="B13" s="4" t="s">
        <v>21</v>
      </c>
    </row>
    <row r="14" spans="1:2" x14ac:dyDescent="0.25">
      <c r="A14" s="5" t="s">
        <v>22</v>
      </c>
      <c r="B14" s="5" t="s">
        <v>23</v>
      </c>
    </row>
    <row r="15" spans="1:2" x14ac:dyDescent="0.25">
      <c r="A15" s="4" t="s">
        <v>24</v>
      </c>
      <c r="B15" s="4" t="s">
        <v>25</v>
      </c>
    </row>
    <row r="16" spans="1:2" x14ac:dyDescent="0.25">
      <c r="A16" s="5" t="s">
        <v>26</v>
      </c>
      <c r="B16" s="5" t="s">
        <v>27</v>
      </c>
    </row>
    <row r="17" spans="1:2" x14ac:dyDescent="0.25">
      <c r="A17" s="4" t="s">
        <v>28</v>
      </c>
      <c r="B17" s="4" t="s">
        <v>29</v>
      </c>
    </row>
    <row r="18" spans="1:2" x14ac:dyDescent="0.25">
      <c r="A18" s="5" t="s">
        <v>30</v>
      </c>
      <c r="B18" s="5" t="s">
        <v>31</v>
      </c>
    </row>
  </sheetData>
  <pageMargins left="0.7" right="0.7" top="0.75" bottom="0.75" header="0.3" footer="0.3"/>
  <pageSetup paperSize="9"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4"/>
  <sheetViews>
    <sheetView workbookViewId="0" showGridLines="0"/>
  </sheetViews>
  <sheetFormatPr defaultRowHeight="15" outlineLevelRow="0" outlineLevelCol="0" x14ac:dyDescent="55"/>
  <cols>
    <col min="1" max="1" width="7" customWidth="1"/>
    <col min="2" max="3" width="34" customWidth="1"/>
    <col min="4" max="4" width="44" customWidth="1"/>
    <col min="5" max="7" width="8" customWidth="1"/>
    <col min="8" max="9" width="7" customWidth="1"/>
    <col min="10" max="10" width="40" customWidth="1"/>
    <col min="11" max="11" width="10" customWidth="1"/>
    <col min="12" max="12" width="11" customWidth="1"/>
    <col min="13" max="13" width="24" customWidth="1"/>
  </cols>
  <sheetData>
    <row r="1" spans="1:1" s="1" customFormat="1" x14ac:dyDescent="0.25">
      <c r="A1" s="1" t="s">
        <v>32</v>
      </c>
    </row>
    <row r="2" spans="1:1" s="2" customFormat="1" x14ac:dyDescent="0.25">
      <c r="A2" s="2" t="s">
        <v>33</v>
      </c>
    </row>
    <row r="4" spans="1:13" x14ac:dyDescent="0.25">
      <c r="A4" s="3" t="s">
        <v>34</v>
      </c>
      <c r="B4" s="3" t="s">
        <v>35</v>
      </c>
      <c r="C4" s="3" t="s">
        <v>36</v>
      </c>
      <c r="D4" s="3" t="s">
        <v>37</v>
      </c>
      <c r="E4" s="3" t="s">
        <v>38</v>
      </c>
      <c r="F4" s="3" t="s">
        <v>15</v>
      </c>
      <c r="G4" s="3" t="s">
        <v>39</v>
      </c>
      <c r="H4" s="3" t="s">
        <v>40</v>
      </c>
      <c r="I4" s="3" t="s">
        <v>41</v>
      </c>
      <c r="J4" s="3" t="s">
        <v>42</v>
      </c>
      <c r="K4" s="3" t="s">
        <v>43</v>
      </c>
      <c r="L4" s="3" t="s">
        <v>44</v>
      </c>
      <c r="M4" s="3" t="s">
        <v>45</v>
      </c>
    </row>
    <row r="5" spans="1:13" x14ac:dyDescent="0.25">
      <c r="A5" s="4" t="s">
        <v>46</v>
      </c>
      <c r="B5" s="4" t="s">
        <v>47</v>
      </c>
      <c r="C5" s="4" t="s">
        <v>48</v>
      </c>
      <c r="D5" s="4" t="s">
        <v>49</v>
      </c>
      <c r="E5" s="4">
        <f>F5-1*I5</f>
      </c>
      <c r="F5" s="4">
        <v>59</v>
      </c>
      <c r="G5" s="4">
        <f>F5+1*I5</f>
      </c>
      <c r="H5" s="4">
        <v>1</v>
      </c>
      <c r="I5" s="4">
        <v>2</v>
      </c>
      <c r="J5" s="4" t="s">
        <v>50</v>
      </c>
      <c r="K5" s="4" t="s">
        <v>51</v>
      </c>
      <c r="L5" s="4" t="s">
        <v>52</v>
      </c>
      <c r="M5" s="4" t="s">
        <v>53</v>
      </c>
    </row>
    <row r="6" spans="1:13" x14ac:dyDescent="0.25">
      <c r="A6" s="5" t="s">
        <v>54</v>
      </c>
      <c r="B6" s="5" t="s">
        <v>55</v>
      </c>
      <c r="C6" s="5" t="s">
        <v>56</v>
      </c>
      <c r="D6" s="5" t="s">
        <v>57</v>
      </c>
      <c r="E6" s="5">
        <f>F6-1*I6</f>
      </c>
      <c r="F6" s="5">
        <v>9</v>
      </c>
      <c r="G6" s="5">
        <f>F6+1*I6</f>
      </c>
      <c r="H6" s="5">
        <v>0.5</v>
      </c>
      <c r="I6" s="5">
        <v>0.5</v>
      </c>
      <c r="J6" s="5" t="s">
        <v>58</v>
      </c>
      <c r="K6" s="5" t="s">
        <v>59</v>
      </c>
      <c r="L6" s="5" t="s">
        <v>60</v>
      </c>
      <c r="M6" s="5" t="s">
        <v>53</v>
      </c>
    </row>
    <row r="7" spans="1:13" x14ac:dyDescent="0.25">
      <c r="A7" s="4" t="s">
        <v>61</v>
      </c>
      <c r="B7" s="4" t="s">
        <v>62</v>
      </c>
      <c r="C7" s="4" t="s">
        <v>63</v>
      </c>
      <c r="D7" s="4" t="s">
        <v>64</v>
      </c>
      <c r="E7" s="4">
        <f>F7-1*I7</f>
      </c>
      <c r="F7" s="4">
        <v>6.5</v>
      </c>
      <c r="G7" s="4">
        <f>F7+1*I7</f>
      </c>
      <c r="H7" s="4">
        <v>0.3</v>
      </c>
      <c r="I7" s="4">
        <v>0</v>
      </c>
      <c r="J7" s="4" t="s">
        <v>65</v>
      </c>
      <c r="K7" s="4" t="s">
        <v>59</v>
      </c>
      <c r="L7" s="4" t="s">
        <v>60</v>
      </c>
      <c r="M7" s="4" t="s">
        <v>53</v>
      </c>
    </row>
    <row r="8" spans="1:13" x14ac:dyDescent="0.25">
      <c r="A8" s="5" t="s">
        <v>66</v>
      </c>
      <c r="B8" s="5" t="s">
        <v>67</v>
      </c>
      <c r="C8" s="5" t="s">
        <v>68</v>
      </c>
      <c r="D8" s="5" t="s">
        <v>69</v>
      </c>
      <c r="E8" s="5">
        <f>F8-1*I8</f>
      </c>
      <c r="F8" s="5">
        <v>56.5</v>
      </c>
      <c r="G8" s="5">
        <f>F8+1*I8</f>
      </c>
      <c r="H8" s="5">
        <v>1</v>
      </c>
      <c r="I8" s="5">
        <v>2</v>
      </c>
      <c r="J8" s="5" t="s">
        <v>70</v>
      </c>
      <c r="K8" s="5" t="s">
        <v>51</v>
      </c>
      <c r="L8" s="5" t="s">
        <v>60</v>
      </c>
      <c r="M8" s="5" t="s">
        <v>53</v>
      </c>
    </row>
    <row r="9" spans="1:13" x14ac:dyDescent="0.25">
      <c r="A9" s="4" t="s">
        <v>71</v>
      </c>
      <c r="B9" s="4" t="s">
        <v>72</v>
      </c>
      <c r="C9" s="4" t="s">
        <v>73</v>
      </c>
      <c r="D9" s="4" t="s">
        <v>74</v>
      </c>
      <c r="E9" s="4">
        <f>F9-1*I9</f>
      </c>
      <c r="F9" s="4">
        <v>18</v>
      </c>
      <c r="G9" s="4">
        <f>F9+1*I9</f>
      </c>
      <c r="H9" s="4">
        <v>0.3</v>
      </c>
      <c r="I9" s="4">
        <v>0.6</v>
      </c>
      <c r="J9" s="4" t="s">
        <v>75</v>
      </c>
      <c r="K9" s="4" t="s">
        <v>51</v>
      </c>
      <c r="L9" s="4" t="s">
        <v>52</v>
      </c>
      <c r="M9" s="4" t="s">
        <v>53</v>
      </c>
    </row>
    <row r="10" spans="1:13" x14ac:dyDescent="0.25">
      <c r="A10" s="5" t="s">
        <v>76</v>
      </c>
      <c r="B10" s="5" t="s">
        <v>77</v>
      </c>
      <c r="C10" s="5" t="s">
        <v>78</v>
      </c>
      <c r="D10" s="5" t="s">
        <v>79</v>
      </c>
      <c r="E10" s="5">
        <f>F10-1*I10</f>
      </c>
      <c r="F10" s="5">
        <v>15.5</v>
      </c>
      <c r="G10" s="5">
        <f>F10+1*I10</f>
      </c>
      <c r="H10" s="5">
        <v>0.7</v>
      </c>
      <c r="I10" s="5">
        <v>0.5</v>
      </c>
      <c r="J10" s="5" t="s">
        <v>80</v>
      </c>
      <c r="K10" s="5" t="s">
        <v>51</v>
      </c>
      <c r="L10" s="5" t="s">
        <v>52</v>
      </c>
      <c r="M10" s="5" t="s">
        <v>53</v>
      </c>
    </row>
    <row r="11" spans="1:13" x14ac:dyDescent="0.25">
      <c r="A11" s="4" t="s">
        <v>81</v>
      </c>
      <c r="B11" s="4" t="s">
        <v>82</v>
      </c>
      <c r="C11" s="4" t="s">
        <v>83</v>
      </c>
      <c r="D11" s="4" t="s">
        <v>84</v>
      </c>
      <c r="E11" s="4">
        <f>F11-1*I11</f>
      </c>
      <c r="F11" s="4">
        <v>94.4</v>
      </c>
      <c r="G11" s="4">
        <f>F11+1*I11</f>
      </c>
      <c r="H11" s="4">
        <v>1.5</v>
      </c>
      <c r="I11" s="4">
        <v>2</v>
      </c>
      <c r="J11" s="4" t="s">
        <v>85</v>
      </c>
      <c r="K11" s="4" t="s">
        <v>51</v>
      </c>
      <c r="L11" s="4" t="s">
        <v>52</v>
      </c>
      <c r="M11" s="4" t="s">
        <v>53</v>
      </c>
    </row>
    <row r="12" spans="1:13" x14ac:dyDescent="0.25">
      <c r="A12" s="5" t="s">
        <v>86</v>
      </c>
      <c r="B12" s="5" t="s">
        <v>87</v>
      </c>
      <c r="C12" s="5" t="s">
        <v>88</v>
      </c>
      <c r="D12" s="5" t="s">
        <v>89</v>
      </c>
      <c r="E12" s="5">
        <f>F12-1*I12</f>
      </c>
      <c r="F12" s="5">
        <v>30</v>
      </c>
      <c r="G12" s="5">
        <f>F12+1*I12</f>
      </c>
      <c r="H12" s="5">
        <v>1</v>
      </c>
      <c r="I12" s="5">
        <v>0.7</v>
      </c>
      <c r="J12" s="5" t="s">
        <v>90</v>
      </c>
      <c r="K12" s="5" t="s">
        <v>51</v>
      </c>
      <c r="L12" s="5" t="s">
        <v>52</v>
      </c>
      <c r="M12" s="5" t="s">
        <v>53</v>
      </c>
    </row>
    <row r="13" spans="1:13" x14ac:dyDescent="0.25">
      <c r="A13" s="4" t="s">
        <v>91</v>
      </c>
      <c r="B13" s="4" t="s">
        <v>92</v>
      </c>
      <c r="C13" s="4" t="s">
        <v>93</v>
      </c>
      <c r="D13" s="4" t="s">
        <v>94</v>
      </c>
      <c r="E13" s="4">
        <f>F13-1*I13</f>
      </c>
      <c r="F13" s="4">
        <v>0.6</v>
      </c>
      <c r="G13" s="4">
        <f>F13+1*I13</f>
      </c>
      <c r="H13" s="4">
        <v>0.1</v>
      </c>
      <c r="I13" s="4">
        <v>0</v>
      </c>
      <c r="J13" s="4" t="s">
        <v>95</v>
      </c>
      <c r="K13" s="4" t="s">
        <v>59</v>
      </c>
      <c r="L13" s="4" t="s">
        <v>52</v>
      </c>
      <c r="M13" s="4" t="s">
        <v>53</v>
      </c>
    </row>
    <row r="14" spans="1:13" x14ac:dyDescent="0.25">
      <c r="A14" s="5" t="s">
        <v>96</v>
      </c>
      <c r="B14" s="5" t="s">
        <v>97</v>
      </c>
      <c r="C14" s="5" t="s">
        <v>98</v>
      </c>
      <c r="D14" s="5" t="s">
        <v>99</v>
      </c>
      <c r="E14" s="5">
        <f>F14-1*I14</f>
      </c>
      <c r="F14" s="5">
        <v>1.5</v>
      </c>
      <c r="G14" s="5">
        <f>F14+1*I14</f>
      </c>
      <c r="H14" s="5">
        <v>0.3</v>
      </c>
      <c r="I14" s="5">
        <v>0</v>
      </c>
      <c r="J14" s="5" t="s">
        <v>100</v>
      </c>
      <c r="K14" s="5" t="s">
        <v>59</v>
      </c>
      <c r="L14" s="5" t="s">
        <v>52</v>
      </c>
      <c r="M14" s="5" t="s">
        <v>53</v>
      </c>
    </row>
  </sheetData>
  <dataValidations count="2">
    <dataValidation type="list" allowBlank="1" sqref="M10:M14">
      <formula1>"OK,Adjust,Query"</formula1>
    </dataValidation>
    <dataValidation type="list" allowBlank="1" sqref="M5:M14">
      <formula1>"OK,Adjust,Query"</formula1>
    </dataValidation>
  </dataValidations>
  <pageMargins left="0.7" right="0.7" top="0.75" bottom="0.75" header="0.3" footer="0.3"/>
  <pageSetup paperSize="9"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8"/>
  <sheetViews>
    <sheetView workbookViewId="0" showGridLines="0"/>
  </sheetViews>
  <sheetFormatPr defaultRowHeight="15" outlineLevelRow="0" outlineLevelCol="0" x14ac:dyDescent="55"/>
  <cols>
    <col min="1" max="1" width="6" customWidth="1"/>
    <col min="2" max="2" width="11" customWidth="1"/>
    <col min="3" max="4" width="24" customWidth="1"/>
    <col min="5" max="5" width="40" customWidth="1"/>
    <col min="6" max="6" width="18" customWidth="1"/>
    <col min="7" max="7" width="7" customWidth="1"/>
    <col min="9" max="9" width="30" customWidth="1"/>
    <col min="11" max="11" width="7" customWidth="1"/>
    <col min="12" max="12" width="26" customWidth="1"/>
    <col min="13" max="13" width="16" customWidth="1"/>
    <col min="15" max="15" width="10" customWidth="1"/>
    <col min="16" max="16" width="30" customWidth="1"/>
  </cols>
  <sheetData>
    <row r="1" spans="1:1" s="1" customFormat="1" x14ac:dyDescent="0.25">
      <c r="A1" s="1" t="s">
        <v>101</v>
      </c>
    </row>
    <row r="3" spans="1:16" x14ac:dyDescent="0.25">
      <c r="A3" s="3" t="s">
        <v>102</v>
      </c>
      <c r="B3" s="3" t="s">
        <v>10</v>
      </c>
      <c r="C3" s="3" t="s">
        <v>103</v>
      </c>
      <c r="D3" s="3" t="s">
        <v>104</v>
      </c>
      <c r="E3" s="3" t="s">
        <v>20</v>
      </c>
      <c r="F3" s="3" t="s">
        <v>105</v>
      </c>
      <c r="G3" s="3" t="s">
        <v>106</v>
      </c>
      <c r="H3" s="3" t="s">
        <v>107</v>
      </c>
      <c r="I3" s="3" t="s">
        <v>108</v>
      </c>
      <c r="J3" s="3" t="s">
        <v>109</v>
      </c>
      <c r="K3" s="3" t="s">
        <v>110</v>
      </c>
      <c r="L3" s="3" t="s">
        <v>111</v>
      </c>
      <c r="M3" s="3" t="s">
        <v>112</v>
      </c>
      <c r="N3" s="3" t="s">
        <v>43</v>
      </c>
      <c r="O3" s="3" t="s">
        <v>44</v>
      </c>
      <c r="P3" s="3" t="s">
        <v>113</v>
      </c>
    </row>
    <row r="4" spans="1:16" x14ac:dyDescent="0.25">
      <c r="A4" s="4" t="s">
        <v>114</v>
      </c>
      <c r="B4" s="4" t="s">
        <v>115</v>
      </c>
      <c r="C4" s="4" t="s">
        <v>116</v>
      </c>
      <c r="D4" s="4" t="s">
        <v>117</v>
      </c>
      <c r="E4" s="4" t="s">
        <v>118</v>
      </c>
      <c r="F4" s="4" t="s">
        <v>119</v>
      </c>
      <c r="G4" s="4">
        <v>280</v>
      </c>
      <c r="H4" s="4">
        <v>150</v>
      </c>
      <c r="I4" s="4" t="s">
        <v>120</v>
      </c>
      <c r="J4" s="4">
        <v>0.19</v>
      </c>
      <c r="K4" s="4" t="s">
        <v>121</v>
      </c>
      <c r="L4" s="4" t="s">
        <v>122</v>
      </c>
      <c r="M4" s="4" t="s">
        <v>123</v>
      </c>
      <c r="N4" s="4" t="s">
        <v>51</v>
      </c>
      <c r="O4" s="4" t="s">
        <v>52</v>
      </c>
      <c r="P4" s="4" t="s">
        <v>124</v>
      </c>
    </row>
    <row r="5" spans="1:16" x14ac:dyDescent="0.25">
      <c r="A5" s="5" t="s">
        <v>125</v>
      </c>
      <c r="B5" s="5" t="s">
        <v>115</v>
      </c>
      <c r="C5" s="5" t="s">
        <v>126</v>
      </c>
      <c r="D5" s="5" t="s">
        <v>127</v>
      </c>
      <c r="E5" s="5" t="s">
        <v>128</v>
      </c>
      <c r="F5" s="5" t="s">
        <v>119</v>
      </c>
      <c r="G5" s="5">
        <v>280</v>
      </c>
      <c r="H5" s="5">
        <v>150</v>
      </c>
      <c r="I5" s="5" t="s">
        <v>129</v>
      </c>
      <c r="J5" s="5">
        <v>0.19</v>
      </c>
      <c r="K5" s="5" t="s">
        <v>121</v>
      </c>
      <c r="L5" s="5" t="s">
        <v>130</v>
      </c>
      <c r="M5" s="5" t="s">
        <v>123</v>
      </c>
      <c r="N5" s="5" t="s">
        <v>51</v>
      </c>
      <c r="O5" s="5" t="s">
        <v>52</v>
      </c>
      <c r="P5" s="5" t="s">
        <v>131</v>
      </c>
    </row>
    <row r="6" spans="1:16" x14ac:dyDescent="0.25">
      <c r="A6" s="4" t="s">
        <v>132</v>
      </c>
      <c r="B6" s="4" t="s">
        <v>133</v>
      </c>
      <c r="C6" s="4" t="s">
        <v>134</v>
      </c>
      <c r="D6" s="4" t="s">
        <v>135</v>
      </c>
      <c r="E6" s="4" t="s">
        <v>136</v>
      </c>
      <c r="F6" s="4" t="s">
        <v>137</v>
      </c>
      <c r="G6" s="4">
        <v>60</v>
      </c>
      <c r="H6" s="4">
        <v>112</v>
      </c>
      <c r="I6" s="4" t="s">
        <v>138</v>
      </c>
      <c r="J6" s="4">
        <v>0</v>
      </c>
      <c r="K6" s="4" t="s">
        <v>121</v>
      </c>
      <c r="L6" s="4" t="s">
        <v>139</v>
      </c>
      <c r="M6" s="4" t="s">
        <v>123</v>
      </c>
      <c r="N6" s="4" t="s">
        <v>59</v>
      </c>
      <c r="O6" s="4" t="s">
        <v>52</v>
      </c>
      <c r="P6" s="4" t="s">
        <v>140</v>
      </c>
    </row>
    <row r="7" spans="1:16" x14ac:dyDescent="0.25">
      <c r="A7" s="5" t="s">
        <v>141</v>
      </c>
      <c r="B7" s="5" t="s">
        <v>142</v>
      </c>
      <c r="C7" s="5" t="s">
        <v>143</v>
      </c>
      <c r="D7" s="5" t="s">
        <v>144</v>
      </c>
      <c r="E7" s="5" t="s">
        <v>145</v>
      </c>
      <c r="F7" s="5" t="s">
        <v>146</v>
      </c>
      <c r="G7" s="5"/>
      <c r="H7" s="5"/>
      <c r="I7" s="5" t="s">
        <v>147</v>
      </c>
      <c r="J7" s="5">
        <v>8</v>
      </c>
      <c r="K7" s="5" t="s">
        <v>121</v>
      </c>
      <c r="L7" s="5" t="s">
        <v>148</v>
      </c>
      <c r="M7" s="5" t="s">
        <v>123</v>
      </c>
      <c r="N7" s="5" t="s">
        <v>51</v>
      </c>
      <c r="O7" s="5" t="s">
        <v>60</v>
      </c>
      <c r="P7" s="5" t="s">
        <v>149</v>
      </c>
    </row>
    <row r="8" spans="1:16" x14ac:dyDescent="0.25">
      <c r="A8" s="4" t="s">
        <v>150</v>
      </c>
      <c r="B8" s="4" t="s">
        <v>142</v>
      </c>
      <c r="C8" s="4" t="s">
        <v>151</v>
      </c>
      <c r="D8" s="4" t="s">
        <v>152</v>
      </c>
      <c r="E8" s="4" t="s">
        <v>145</v>
      </c>
      <c r="F8" s="4" t="s">
        <v>146</v>
      </c>
      <c r="G8" s="4"/>
      <c r="H8" s="4"/>
      <c r="I8" s="4" t="s">
        <v>153</v>
      </c>
      <c r="J8" s="4">
        <v>8</v>
      </c>
      <c r="K8" s="4" t="s">
        <v>121</v>
      </c>
      <c r="L8" s="4" t="s">
        <v>154</v>
      </c>
      <c r="M8" s="4" t="s">
        <v>123</v>
      </c>
      <c r="N8" s="4" t="s">
        <v>51</v>
      </c>
      <c r="O8" s="4" t="s">
        <v>60</v>
      </c>
      <c r="P8" s="4" t="s">
        <v>155</v>
      </c>
    </row>
    <row r="9" spans="1:16" x14ac:dyDescent="0.25">
      <c r="A9" s="5" t="s">
        <v>156</v>
      </c>
      <c r="B9" s="5" t="s">
        <v>142</v>
      </c>
      <c r="C9" s="5" t="s">
        <v>157</v>
      </c>
      <c r="D9" s="5" t="s">
        <v>158</v>
      </c>
      <c r="E9" s="5" t="s">
        <v>159</v>
      </c>
      <c r="F9" s="5" t="s">
        <v>146</v>
      </c>
      <c r="G9" s="5"/>
      <c r="H9" s="5"/>
      <c r="I9" s="5" t="s">
        <v>160</v>
      </c>
      <c r="J9" s="5">
        <v>4</v>
      </c>
      <c r="K9" s="5" t="s">
        <v>121</v>
      </c>
      <c r="L9" s="5" t="s">
        <v>148</v>
      </c>
      <c r="M9" s="5" t="s">
        <v>123</v>
      </c>
      <c r="N9" s="5" t="s">
        <v>51</v>
      </c>
      <c r="O9" s="5" t="s">
        <v>60</v>
      </c>
      <c r="P9" s="5" t="s">
        <v>161</v>
      </c>
    </row>
    <row r="10" spans="1:16" x14ac:dyDescent="0.25">
      <c r="A10" s="4" t="s">
        <v>162</v>
      </c>
      <c r="B10" s="4" t="s">
        <v>142</v>
      </c>
      <c r="C10" s="4" t="s">
        <v>163</v>
      </c>
      <c r="D10" s="4" t="s">
        <v>164</v>
      </c>
      <c r="E10" s="4" t="s">
        <v>159</v>
      </c>
      <c r="F10" s="4" t="s">
        <v>146</v>
      </c>
      <c r="G10" s="4"/>
      <c r="H10" s="4"/>
      <c r="I10" s="4" t="s">
        <v>165</v>
      </c>
      <c r="J10" s="4">
        <v>4</v>
      </c>
      <c r="K10" s="4" t="s">
        <v>121</v>
      </c>
      <c r="L10" s="4" t="s">
        <v>154</v>
      </c>
      <c r="M10" s="4" t="s">
        <v>123</v>
      </c>
      <c r="N10" s="4" t="s">
        <v>51</v>
      </c>
      <c r="O10" s="4" t="s">
        <v>60</v>
      </c>
      <c r="P10" s="4" t="s">
        <v>166</v>
      </c>
    </row>
    <row r="11" spans="1:16" x14ac:dyDescent="0.25">
      <c r="A11" s="5" t="s">
        <v>167</v>
      </c>
      <c r="B11" s="5" t="s">
        <v>168</v>
      </c>
      <c r="C11" s="5" t="s">
        <v>169</v>
      </c>
      <c r="D11" s="5" t="s">
        <v>170</v>
      </c>
      <c r="E11" s="5" t="s">
        <v>171</v>
      </c>
      <c r="F11" s="5" t="s">
        <v>172</v>
      </c>
      <c r="G11" s="5"/>
      <c r="H11" s="5">
        <v>4</v>
      </c>
      <c r="I11" s="5" t="s">
        <v>173</v>
      </c>
      <c r="J11" s="5">
        <v>1</v>
      </c>
      <c r="K11" s="5" t="s">
        <v>174</v>
      </c>
      <c r="L11" s="5" t="s">
        <v>175</v>
      </c>
      <c r="M11" s="5" t="s">
        <v>123</v>
      </c>
      <c r="N11" s="5" t="s">
        <v>59</v>
      </c>
      <c r="O11" s="5" t="s">
        <v>52</v>
      </c>
      <c r="P11" s="5" t="s">
        <v>176</v>
      </c>
    </row>
    <row r="12" spans="1:16" x14ac:dyDescent="0.25">
      <c r="A12" s="4" t="s">
        <v>177</v>
      </c>
      <c r="B12" s="4" t="s">
        <v>168</v>
      </c>
      <c r="C12" s="4" t="s">
        <v>178</v>
      </c>
      <c r="D12" s="4" t="s">
        <v>179</v>
      </c>
      <c r="E12" s="4" t="s">
        <v>180</v>
      </c>
      <c r="F12" s="4" t="s">
        <v>181</v>
      </c>
      <c r="G12" s="4"/>
      <c r="H12" s="4">
        <v>3</v>
      </c>
      <c r="I12" s="4" t="s">
        <v>182</v>
      </c>
      <c r="J12" s="4">
        <v>1</v>
      </c>
      <c r="K12" s="4" t="s">
        <v>174</v>
      </c>
      <c r="L12" s="4" t="s">
        <v>183</v>
      </c>
      <c r="M12" s="4" t="s">
        <v>123</v>
      </c>
      <c r="N12" s="4" t="s">
        <v>59</v>
      </c>
      <c r="O12" s="4" t="s">
        <v>52</v>
      </c>
      <c r="P12" s="4" t="s">
        <v>184</v>
      </c>
    </row>
    <row r="13" spans="1:16" x14ac:dyDescent="0.25">
      <c r="A13" s="5" t="s">
        <v>185</v>
      </c>
      <c r="B13" s="5" t="s">
        <v>168</v>
      </c>
      <c r="C13" s="5" t="s">
        <v>186</v>
      </c>
      <c r="D13" s="5" t="s">
        <v>187</v>
      </c>
      <c r="E13" s="5" t="s">
        <v>188</v>
      </c>
      <c r="F13" s="5" t="s">
        <v>189</v>
      </c>
      <c r="G13" s="5">
        <v>300</v>
      </c>
      <c r="H13" s="5">
        <v>5</v>
      </c>
      <c r="I13" s="5" t="s">
        <v>190</v>
      </c>
      <c r="J13" s="5">
        <v>1</v>
      </c>
      <c r="K13" s="5" t="s">
        <v>174</v>
      </c>
      <c r="L13" s="5" t="s">
        <v>191</v>
      </c>
      <c r="M13" s="5" t="s">
        <v>123</v>
      </c>
      <c r="N13" s="5" t="s">
        <v>59</v>
      </c>
      <c r="O13" s="5" t="s">
        <v>52</v>
      </c>
      <c r="P13" s="5" t="s">
        <v>192</v>
      </c>
    </row>
    <row r="14" spans="1:16" x14ac:dyDescent="0.25">
      <c r="A14" s="4" t="s">
        <v>193</v>
      </c>
      <c r="B14" s="4" t="s">
        <v>194</v>
      </c>
      <c r="C14" s="4" t="s">
        <v>195</v>
      </c>
      <c r="D14" s="4" t="s">
        <v>196</v>
      </c>
      <c r="E14" s="4" t="s">
        <v>197</v>
      </c>
      <c r="F14" s="4" t="s">
        <v>198</v>
      </c>
      <c r="G14" s="4"/>
      <c r="H14" s="4"/>
      <c r="I14" s="4" t="s">
        <v>199</v>
      </c>
      <c r="J14" s="4">
        <v>1</v>
      </c>
      <c r="K14" s="4" t="s">
        <v>174</v>
      </c>
      <c r="L14" s="4" t="s">
        <v>200</v>
      </c>
      <c r="M14" s="4" t="s">
        <v>123</v>
      </c>
      <c r="N14" s="4" t="s">
        <v>201</v>
      </c>
      <c r="O14" s="4" t="s">
        <v>60</v>
      </c>
      <c r="P14" s="4" t="s">
        <v>202</v>
      </c>
    </row>
    <row r="15" spans="1:16" x14ac:dyDescent="0.25">
      <c r="A15" s="5" t="s">
        <v>203</v>
      </c>
      <c r="B15" s="5" t="s">
        <v>204</v>
      </c>
      <c r="C15" s="5" t="s">
        <v>205</v>
      </c>
      <c r="D15" s="5" t="s">
        <v>206</v>
      </c>
      <c r="E15" s="5" t="s">
        <v>207</v>
      </c>
      <c r="F15" s="5" t="s">
        <v>208</v>
      </c>
      <c r="G15" s="5"/>
      <c r="H15" s="5">
        <v>25</v>
      </c>
      <c r="I15" s="5" t="s">
        <v>209</v>
      </c>
      <c r="J15" s="5">
        <v>1</v>
      </c>
      <c r="K15" s="5" t="s">
        <v>174</v>
      </c>
      <c r="L15" s="5" t="s">
        <v>210</v>
      </c>
      <c r="M15" s="5" t="s">
        <v>123</v>
      </c>
      <c r="N15" s="5" t="s">
        <v>59</v>
      </c>
      <c r="O15" s="5" t="s">
        <v>52</v>
      </c>
      <c r="P15" s="5" t="s">
        <v>211</v>
      </c>
    </row>
    <row r="16" spans="1:16" x14ac:dyDescent="0.25">
      <c r="A16" s="4" t="s">
        <v>212</v>
      </c>
      <c r="B16" s="4" t="s">
        <v>204</v>
      </c>
      <c r="C16" s="4" t="s">
        <v>213</v>
      </c>
      <c r="D16" s="4" t="s">
        <v>214</v>
      </c>
      <c r="E16" s="4" t="s">
        <v>215</v>
      </c>
      <c r="F16" s="4" t="s">
        <v>216</v>
      </c>
      <c r="G16" s="4"/>
      <c r="H16" s="4">
        <v>2.5</v>
      </c>
      <c r="I16" s="4" t="s">
        <v>217</v>
      </c>
      <c r="J16" s="4">
        <v>1</v>
      </c>
      <c r="K16" s="4" t="s">
        <v>174</v>
      </c>
      <c r="L16" s="4" t="s">
        <v>218</v>
      </c>
      <c r="M16" s="4" t="s">
        <v>123</v>
      </c>
      <c r="N16" s="4" t="s">
        <v>59</v>
      </c>
      <c r="O16" s="4" t="s">
        <v>52</v>
      </c>
      <c r="P16" s="4" t="s">
        <v>219</v>
      </c>
    </row>
    <row r="17" spans="1:16" x14ac:dyDescent="0.25">
      <c r="A17" s="5" t="s">
        <v>220</v>
      </c>
      <c r="B17" s="5" t="s">
        <v>204</v>
      </c>
      <c r="C17" s="5" t="s">
        <v>221</v>
      </c>
      <c r="D17" s="5" t="s">
        <v>222</v>
      </c>
      <c r="E17" s="5" t="s">
        <v>223</v>
      </c>
      <c r="F17" s="5" t="s">
        <v>224</v>
      </c>
      <c r="G17" s="5"/>
      <c r="H17" s="5"/>
      <c r="I17" s="5" t="s">
        <v>225</v>
      </c>
      <c r="J17" s="5">
        <v>0.0833</v>
      </c>
      <c r="K17" s="5" t="s">
        <v>174</v>
      </c>
      <c r="L17" s="5" t="s">
        <v>226</v>
      </c>
      <c r="M17" s="5" t="s">
        <v>123</v>
      </c>
      <c r="N17" s="5" t="s">
        <v>59</v>
      </c>
      <c r="O17" s="5" t="s">
        <v>52</v>
      </c>
      <c r="P17" s="5" t="s">
        <v>227</v>
      </c>
    </row>
    <row r="18" spans="1:16" x14ac:dyDescent="0.25">
      <c r="A18" s="4" t="s">
        <v>228</v>
      </c>
      <c r="B18" s="4" t="s">
        <v>204</v>
      </c>
      <c r="C18" s="4" t="s">
        <v>229</v>
      </c>
      <c r="D18" s="4" t="s">
        <v>230</v>
      </c>
      <c r="E18" s="4" t="s">
        <v>231</v>
      </c>
      <c r="F18" s="4" t="s">
        <v>232</v>
      </c>
      <c r="G18" s="4"/>
      <c r="H18" s="4"/>
      <c r="I18" s="4" t="s">
        <v>233</v>
      </c>
      <c r="J18" s="4">
        <v>0.0208</v>
      </c>
      <c r="K18" s="4" t="s">
        <v>174</v>
      </c>
      <c r="L18" s="4" t="s">
        <v>226</v>
      </c>
      <c r="M18" s="4" t="s">
        <v>123</v>
      </c>
      <c r="N18" s="4" t="s">
        <v>59</v>
      </c>
      <c r="O18" s="4" t="s">
        <v>52</v>
      </c>
      <c r="P18" s="4" t="s">
        <v>234</v>
      </c>
    </row>
  </sheetData>
  <pageMargins left="0.7" right="0.7" top="0.75" bottom="0.75" header="0.3" footer="0.3"/>
  <pageSetup paperSize="9"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8"/>
  <sheetViews>
    <sheetView workbookViewId="0" showGridLines="0"/>
  </sheetViews>
  <sheetFormatPr defaultRowHeight="15" outlineLevelRow="0" outlineLevelCol="0" x14ac:dyDescent="55"/>
  <cols>
    <col min="1" max="1" width="120" customWidth="1"/>
    <col min="2" max="3" width="48" customWidth="1"/>
    <col min="4" max="4" width="22" customWidth="1"/>
    <col min="5" max="6" width="8" customWidth="1"/>
    <col min="7" max="8" width="40" customWidth="1"/>
  </cols>
  <sheetData>
    <row r="1" spans="1:1" s="1" customFormat="1" x14ac:dyDescent="0.25">
      <c r="A1" s="1" t="s">
        <v>235</v>
      </c>
    </row>
    <row r="3" spans="1:2" x14ac:dyDescent="0.25">
      <c r="A3" s="3" t="s">
        <v>236</v>
      </c>
      <c r="B3" s="3" t="s">
        <v>3</v>
      </c>
    </row>
    <row r="4" spans="1:2" x14ac:dyDescent="0.25">
      <c r="A4" s="4" t="s">
        <v>237</v>
      </c>
      <c r="B4" s="4" t="s">
        <v>238</v>
      </c>
    </row>
    <row r="5" spans="1:2" x14ac:dyDescent="0.25">
      <c r="A5" s="5" t="s">
        <v>239</v>
      </c>
      <c r="B5" s="5" t="s">
        <v>240</v>
      </c>
    </row>
    <row r="6" spans="1:2" x14ac:dyDescent="0.25">
      <c r="A6" s="4" t="s">
        <v>241</v>
      </c>
      <c r="B6" s="4" t="s">
        <v>242</v>
      </c>
    </row>
    <row r="7" spans="1:2" x14ac:dyDescent="0.25">
      <c r="A7" s="5" t="s">
        <v>243</v>
      </c>
      <c r="B7" s="5" t="s">
        <v>244</v>
      </c>
    </row>
    <row r="8" spans="1:2" x14ac:dyDescent="0.25">
      <c r="A8" s="4" t="s">
        <v>245</v>
      </c>
      <c r="B8" s="4" t="s">
        <v>246</v>
      </c>
    </row>
    <row r="9" spans="1:2" x14ac:dyDescent="0.25">
      <c r="A9" s="5" t="s">
        <v>247</v>
      </c>
      <c r="B9" s="5" t="s">
        <v>248</v>
      </c>
    </row>
    <row r="10" spans="1:2" x14ac:dyDescent="0.25">
      <c r="A10" s="4" t="s">
        <v>249</v>
      </c>
      <c r="B10" s="4" t="s">
        <v>250</v>
      </c>
    </row>
    <row r="11" spans="1:2" x14ac:dyDescent="0.25">
      <c r="A11" s="5" t="s">
        <v>251</v>
      </c>
      <c r="B11" s="5" t="s">
        <v>252</v>
      </c>
    </row>
    <row r="12" spans="1:2" x14ac:dyDescent="0.25">
      <c r="A12" s="4" t="s">
        <v>253</v>
      </c>
      <c r="B12" s="4" t="s">
        <v>254</v>
      </c>
    </row>
    <row r="13" spans="1:2" x14ac:dyDescent="0.25">
      <c r="A13" s="5" t="s">
        <v>255</v>
      </c>
      <c r="B13" s="5" t="s">
        <v>256</v>
      </c>
    </row>
    <row r="14" spans="1:2" x14ac:dyDescent="0.25">
      <c r="A14" s="4" t="s">
        <v>257</v>
      </c>
      <c r="B14" s="4" t="s">
        <v>258</v>
      </c>
    </row>
    <row r="15" spans="1:2" x14ac:dyDescent="0.25">
      <c r="A15" s="5" t="s">
        <v>259</v>
      </c>
      <c r="B15" s="5" t="s">
        <v>260</v>
      </c>
    </row>
    <row r="17" spans="1:8" x14ac:dyDescent="0.25">
      <c r="A17" s="3" t="s">
        <v>261</v>
      </c>
      <c r="B17" s="3" t="s">
        <v>262</v>
      </c>
      <c r="C17" s="3" t="s">
        <v>263</v>
      </c>
      <c r="D17" s="3" t="s">
        <v>264</v>
      </c>
      <c r="E17" s="3" t="s">
        <v>265</v>
      </c>
      <c r="F17" s="3" t="s">
        <v>266</v>
      </c>
      <c r="G17" s="3" t="s">
        <v>267</v>
      </c>
      <c r="H17" s="3" t="s">
        <v>268</v>
      </c>
    </row>
    <row r="18" spans="1:8" x14ac:dyDescent="0.25">
      <c r="A18" s="4">
        <v>1</v>
      </c>
      <c r="B18" s="4" t="s">
        <v>269</v>
      </c>
      <c r="C18" s="4" t="s">
        <v>270</v>
      </c>
      <c r="D18" s="4" t="s">
        <v>271</v>
      </c>
      <c r="E18" s="4" t="s">
        <v>272</v>
      </c>
      <c r="F18" s="4" t="s">
        <v>272</v>
      </c>
      <c r="G18" s="4" t="s">
        <v>273</v>
      </c>
      <c r="H18" s="4" t="s">
        <v>274</v>
      </c>
    </row>
    <row r="19" spans="1:8" x14ac:dyDescent="0.25">
      <c r="A19" s="5">
        <v>2</v>
      </c>
      <c r="B19" s="5" t="s">
        <v>275</v>
      </c>
      <c r="C19" s="5" t="s">
        <v>276</v>
      </c>
      <c r="D19" s="5" t="s">
        <v>277</v>
      </c>
      <c r="E19" s="5" t="s">
        <v>278</v>
      </c>
      <c r="F19" s="5" t="s">
        <v>279</v>
      </c>
      <c r="G19" s="5" t="s">
        <v>280</v>
      </c>
      <c r="H19" s="5" t="s">
        <v>281</v>
      </c>
    </row>
    <row r="20" spans="1:8" x14ac:dyDescent="0.25">
      <c r="A20" s="4">
        <v>3</v>
      </c>
      <c r="B20" s="4" t="s">
        <v>282</v>
      </c>
      <c r="C20" s="4" t="s">
        <v>283</v>
      </c>
      <c r="D20" s="4" t="s">
        <v>284</v>
      </c>
      <c r="E20" s="4" t="s">
        <v>278</v>
      </c>
      <c r="F20" s="4" t="s">
        <v>279</v>
      </c>
      <c r="G20" s="4" t="s">
        <v>285</v>
      </c>
      <c r="H20" s="4" t="s">
        <v>286</v>
      </c>
    </row>
    <row r="21" spans="1:8" x14ac:dyDescent="0.25">
      <c r="A21" s="5">
        <v>4</v>
      </c>
      <c r="B21" s="5" t="s">
        <v>287</v>
      </c>
      <c r="C21" s="5" t="s">
        <v>288</v>
      </c>
      <c r="D21" s="5" t="s">
        <v>289</v>
      </c>
      <c r="E21" s="5" t="s">
        <v>278</v>
      </c>
      <c r="F21" s="5" t="s">
        <v>279</v>
      </c>
      <c r="G21" s="5" t="s">
        <v>290</v>
      </c>
      <c r="H21" s="5" t="s">
        <v>291</v>
      </c>
    </row>
    <row r="22" spans="1:8" x14ac:dyDescent="0.25">
      <c r="A22" s="4">
        <v>5</v>
      </c>
      <c r="B22" s="4" t="s">
        <v>292</v>
      </c>
      <c r="C22" s="4" t="s">
        <v>293</v>
      </c>
      <c r="D22" s="4" t="s">
        <v>294</v>
      </c>
      <c r="E22" s="4" t="s">
        <v>278</v>
      </c>
      <c r="F22" s="4" t="s">
        <v>279</v>
      </c>
      <c r="G22" s="4" t="s">
        <v>295</v>
      </c>
      <c r="H22" s="4" t="s">
        <v>296</v>
      </c>
    </row>
    <row r="23" spans="1:8" x14ac:dyDescent="0.25">
      <c r="A23" s="5">
        <v>6</v>
      </c>
      <c r="B23" s="5" t="s">
        <v>297</v>
      </c>
      <c r="C23" s="5" t="s">
        <v>298</v>
      </c>
      <c r="D23" s="5" t="s">
        <v>299</v>
      </c>
      <c r="E23" s="5" t="s">
        <v>278</v>
      </c>
      <c r="F23" s="5" t="s">
        <v>279</v>
      </c>
      <c r="G23" s="5" t="s">
        <v>300</v>
      </c>
      <c r="H23" s="5" t="s">
        <v>301</v>
      </c>
    </row>
    <row r="24" spans="1:8" x14ac:dyDescent="0.25">
      <c r="A24" s="4">
        <v>7</v>
      </c>
      <c r="B24" s="4" t="s">
        <v>302</v>
      </c>
      <c r="C24" s="4" t="s">
        <v>303</v>
      </c>
      <c r="D24" s="4" t="s">
        <v>294</v>
      </c>
      <c r="E24" s="4" t="s">
        <v>278</v>
      </c>
      <c r="F24" s="4" t="s">
        <v>279</v>
      </c>
      <c r="G24" s="4" t="s">
        <v>304</v>
      </c>
      <c r="H24" s="4" t="s">
        <v>305</v>
      </c>
    </row>
    <row r="25" spans="1:8" x14ac:dyDescent="0.25">
      <c r="A25" s="5">
        <v>8</v>
      </c>
      <c r="B25" s="5" t="s">
        <v>306</v>
      </c>
      <c r="C25" s="5" t="s">
        <v>307</v>
      </c>
      <c r="D25" s="5" t="s">
        <v>308</v>
      </c>
      <c r="E25" s="5" t="s">
        <v>272</v>
      </c>
      <c r="F25" s="5" t="s">
        <v>272</v>
      </c>
      <c r="G25" s="5" t="s">
        <v>309</v>
      </c>
      <c r="H25" s="5" t="s">
        <v>310</v>
      </c>
    </row>
    <row r="26" spans="1:8" x14ac:dyDescent="0.25">
      <c r="A26" s="4">
        <v>9</v>
      </c>
      <c r="B26" s="4" t="s">
        <v>311</v>
      </c>
      <c r="C26" s="4" t="s">
        <v>312</v>
      </c>
      <c r="D26" s="4" t="s">
        <v>313</v>
      </c>
      <c r="E26" s="4" t="s">
        <v>278</v>
      </c>
      <c r="F26" s="4" t="s">
        <v>314</v>
      </c>
      <c r="G26" s="4" t="s">
        <v>315</v>
      </c>
      <c r="H26" s="4" t="s">
        <v>316</v>
      </c>
    </row>
    <row r="27" spans="1:8" x14ac:dyDescent="0.25">
      <c r="A27" s="5">
        <v>10</v>
      </c>
      <c r="B27" s="5" t="s">
        <v>317</v>
      </c>
      <c r="C27" s="5" t="s">
        <v>318</v>
      </c>
      <c r="D27" s="5" t="s">
        <v>294</v>
      </c>
      <c r="E27" s="5" t="s">
        <v>278</v>
      </c>
      <c r="F27" s="5" t="s">
        <v>279</v>
      </c>
      <c r="G27" s="5" t="s">
        <v>319</v>
      </c>
      <c r="H27" s="5" t="s">
        <v>320</v>
      </c>
    </row>
    <row r="28" spans="1:8" x14ac:dyDescent="0.25">
      <c r="A28" s="4">
        <v>11</v>
      </c>
      <c r="B28" s="4" t="s">
        <v>321</v>
      </c>
      <c r="C28" s="4" t="s">
        <v>322</v>
      </c>
      <c r="D28" s="4" t="s">
        <v>323</v>
      </c>
      <c r="E28" s="4" t="s">
        <v>272</v>
      </c>
      <c r="F28" s="4" t="s">
        <v>272</v>
      </c>
      <c r="G28" s="4" t="s">
        <v>324</v>
      </c>
      <c r="H28" s="4" t="s">
        <v>325</v>
      </c>
    </row>
    <row r="29" spans="1:8" x14ac:dyDescent="0.25">
      <c r="A29" s="5">
        <v>12</v>
      </c>
      <c r="B29" s="5" t="s">
        <v>326</v>
      </c>
      <c r="C29" s="5" t="s">
        <v>327</v>
      </c>
      <c r="D29" s="5" t="s">
        <v>328</v>
      </c>
      <c r="E29" s="5" t="s">
        <v>272</v>
      </c>
      <c r="F29" s="5" t="s">
        <v>272</v>
      </c>
      <c r="G29" s="5" t="s">
        <v>329</v>
      </c>
      <c r="H29" s="5" t="s">
        <v>330</v>
      </c>
    </row>
    <row r="31" spans="1:1" x14ac:dyDescent="0.25">
      <c r="A31" s="3" t="s">
        <v>331</v>
      </c>
    </row>
    <row r="32" spans="1:1" x14ac:dyDescent="0.25">
      <c r="A32" s="4" t="s">
        <v>332</v>
      </c>
    </row>
    <row r="33" spans="1:1" x14ac:dyDescent="0.25">
      <c r="A33" s="5" t="s">
        <v>333</v>
      </c>
    </row>
    <row r="34" spans="1:1" x14ac:dyDescent="0.25">
      <c r="A34" s="4" t="s">
        <v>334</v>
      </c>
    </row>
    <row r="35" spans="1:1" x14ac:dyDescent="0.25">
      <c r="A35" s="5" t="s">
        <v>335</v>
      </c>
    </row>
    <row r="36" spans="1:1" x14ac:dyDescent="0.25">
      <c r="A36" s="4" t="s">
        <v>336</v>
      </c>
    </row>
    <row r="37" spans="1:1" x14ac:dyDescent="0.25">
      <c r="A37" s="5" t="s">
        <v>337</v>
      </c>
    </row>
    <row r="38" spans="1:1" x14ac:dyDescent="0.25">
      <c r="A38" s="4" t="s">
        <v>338</v>
      </c>
    </row>
  </sheetData>
  <pageMargins left="0.7" right="0.7" top="0.75" bottom="0.75" header="0.3" footer="0.3"/>
  <pageSetup paperSize="9"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
  <sheetViews>
    <sheetView workbookViewId="0" showGridLines="0"/>
  </sheetViews>
  <sheetFormatPr defaultRowHeight="15" outlineLevelRow="0" outlineLevelCol="0" x14ac:dyDescent="55"/>
  <cols>
    <col min="2" max="5" width="24" customWidth="1"/>
    <col min="6" max="7" width="14" customWidth="1"/>
    <col min="8" max="8" width="10" customWidth="1"/>
    <col min="9" max="9" width="8" customWidth="1"/>
    <col min="10" max="11" width="24" customWidth="1"/>
    <col min="12" max="12" width="30" customWidth="1"/>
  </cols>
  <sheetData>
    <row r="1" spans="1:1" s="1" customFormat="1" x14ac:dyDescent="0.25">
      <c r="A1" s="1" t="s">
        <v>339</v>
      </c>
    </row>
    <row r="2" spans="1:1" s="2" customFormat="1" x14ac:dyDescent="0.25">
      <c r="A2" s="2" t="s">
        <v>340</v>
      </c>
    </row>
    <row r="4" spans="1:12" x14ac:dyDescent="0.25">
      <c r="A4" s="3" t="s">
        <v>341</v>
      </c>
      <c r="B4" s="3" t="s">
        <v>342</v>
      </c>
      <c r="C4" s="3" t="s">
        <v>343</v>
      </c>
      <c r="D4" s="3" t="s">
        <v>344</v>
      </c>
      <c r="E4" s="3" t="s">
        <v>345</v>
      </c>
      <c r="F4" s="3" t="s">
        <v>346</v>
      </c>
      <c r="G4" s="3" t="s">
        <v>347</v>
      </c>
      <c r="H4" s="3" t="s">
        <v>348</v>
      </c>
      <c r="I4" s="3" t="s">
        <v>349</v>
      </c>
      <c r="J4" s="3" t="s">
        <v>350</v>
      </c>
      <c r="K4" s="3" t="s">
        <v>351</v>
      </c>
      <c r="L4" s="3" t="s">
        <v>352</v>
      </c>
    </row>
    <row r="5" spans="1:12" x14ac:dyDescent="0.25">
      <c r="A5" s="4" t="s">
        <v>353</v>
      </c>
      <c r="B5" s="4" t="s">
        <v>354</v>
      </c>
      <c r="C5" s="4" t="s">
        <v>355</v>
      </c>
      <c r="D5" s="4" t="s">
        <v>356</v>
      </c>
      <c r="E5" s="4" t="s">
        <v>357</v>
      </c>
      <c r="F5" s="4" t="s">
        <v>358</v>
      </c>
      <c r="G5" s="4" t="s">
        <v>359</v>
      </c>
      <c r="H5" s="4" t="s">
        <v>360</v>
      </c>
      <c r="I5" s="4" t="s">
        <v>114</v>
      </c>
      <c r="J5" s="4" t="s">
        <v>361</v>
      </c>
      <c r="K5" s="4" t="s">
        <v>362</v>
      </c>
      <c r="L5" s="4" t="s">
        <v>363</v>
      </c>
    </row>
    <row r="6" spans="1:12" x14ac:dyDescent="0.25">
      <c r="A6" s="5" t="s">
        <v>353</v>
      </c>
      <c r="B6" s="5" t="s">
        <v>354</v>
      </c>
      <c r="C6" s="5" t="s">
        <v>355</v>
      </c>
      <c r="D6" s="5" t="s">
        <v>364</v>
      </c>
      <c r="E6" s="5" t="s">
        <v>365</v>
      </c>
      <c r="F6" s="5" t="s">
        <v>366</v>
      </c>
      <c r="G6" s="5" t="s">
        <v>367</v>
      </c>
      <c r="H6" s="5" t="s">
        <v>368</v>
      </c>
      <c r="I6" s="5" t="s">
        <v>125</v>
      </c>
      <c r="J6" s="5" t="s">
        <v>361</v>
      </c>
      <c r="K6" s="5" t="s">
        <v>362</v>
      </c>
      <c r="L6" s="5" t="s">
        <v>363</v>
      </c>
    </row>
    <row r="7" spans="1:12" x14ac:dyDescent="0.25">
      <c r="A7" s="4" t="s">
        <v>353</v>
      </c>
      <c r="B7" s="4" t="s">
        <v>354</v>
      </c>
      <c r="C7" s="4" t="s">
        <v>355</v>
      </c>
      <c r="D7" s="4" t="s">
        <v>369</v>
      </c>
      <c r="E7" s="4" t="s">
        <v>370</v>
      </c>
      <c r="F7" s="4" t="s">
        <v>358</v>
      </c>
      <c r="G7" s="4" t="s">
        <v>359</v>
      </c>
      <c r="H7" s="4" t="s">
        <v>360</v>
      </c>
      <c r="I7" s="4" t="s">
        <v>156</v>
      </c>
      <c r="J7" s="4" t="s">
        <v>361</v>
      </c>
      <c r="K7" s="4" t="s">
        <v>362</v>
      </c>
      <c r="L7" s="4" t="s">
        <v>363</v>
      </c>
    </row>
    <row r="8" spans="1:12" x14ac:dyDescent="0.25">
      <c r="A8" s="5" t="s">
        <v>353</v>
      </c>
      <c r="B8" s="5" t="s">
        <v>354</v>
      </c>
      <c r="C8" s="5" t="s">
        <v>355</v>
      </c>
      <c r="D8" s="5" t="s">
        <v>371</v>
      </c>
      <c r="E8" s="5" t="s">
        <v>372</v>
      </c>
      <c r="F8" s="5" t="s">
        <v>366</v>
      </c>
      <c r="G8" s="5" t="s">
        <v>367</v>
      </c>
      <c r="H8" s="5" t="s">
        <v>368</v>
      </c>
      <c r="I8" s="5" t="s">
        <v>162</v>
      </c>
      <c r="J8" s="5" t="s">
        <v>361</v>
      </c>
      <c r="K8" s="5" t="s">
        <v>362</v>
      </c>
      <c r="L8" s="5" t="s">
        <v>363</v>
      </c>
    </row>
    <row r="9" spans="1:12" x14ac:dyDescent="0.25">
      <c r="A9" s="4" t="s">
        <v>353</v>
      </c>
      <c r="B9" s="4" t="s">
        <v>354</v>
      </c>
      <c r="C9" s="4" t="s">
        <v>355</v>
      </c>
      <c r="D9" s="4" t="s">
        <v>373</v>
      </c>
      <c r="E9" s="4" t="s">
        <v>374</v>
      </c>
      <c r="F9" s="4" t="s">
        <v>358</v>
      </c>
      <c r="G9" s="4" t="s">
        <v>359</v>
      </c>
      <c r="H9" s="4" t="s">
        <v>360</v>
      </c>
      <c r="I9" s="4" t="s">
        <v>167</v>
      </c>
      <c r="J9" s="4" t="s">
        <v>361</v>
      </c>
      <c r="K9" s="4" t="s">
        <v>362</v>
      </c>
      <c r="L9" s="4" t="s">
        <v>363</v>
      </c>
    </row>
    <row r="10" spans="1:12" x14ac:dyDescent="0.25">
      <c r="A10" s="5" t="s">
        <v>353</v>
      </c>
      <c r="B10" s="5" t="s">
        <v>354</v>
      </c>
      <c r="C10" s="5" t="s">
        <v>355</v>
      </c>
      <c r="D10" s="5" t="s">
        <v>375</v>
      </c>
      <c r="E10" s="5" t="s">
        <v>376</v>
      </c>
      <c r="F10" s="5" t="s">
        <v>366</v>
      </c>
      <c r="G10" s="5" t="s">
        <v>367</v>
      </c>
      <c r="H10" s="5" t="s">
        <v>368</v>
      </c>
      <c r="I10" s="5" t="s">
        <v>177</v>
      </c>
      <c r="J10" s="5" t="s">
        <v>361</v>
      </c>
      <c r="K10" s="5" t="s">
        <v>362</v>
      </c>
      <c r="L10" s="5" t="s">
        <v>363</v>
      </c>
    </row>
    <row r="11" spans="1:12" x14ac:dyDescent="0.25">
      <c r="A11" s="4" t="s">
        <v>353</v>
      </c>
      <c r="B11" s="4" t="s">
        <v>354</v>
      </c>
      <c r="C11" s="4" t="s">
        <v>355</v>
      </c>
      <c r="D11" s="4" t="s">
        <v>377</v>
      </c>
      <c r="E11" s="4" t="s">
        <v>378</v>
      </c>
      <c r="F11" s="4" t="s">
        <v>366</v>
      </c>
      <c r="G11" s="4" t="s">
        <v>367</v>
      </c>
      <c r="H11" s="4" t="s">
        <v>368</v>
      </c>
      <c r="I11" s="4" t="s">
        <v>185</v>
      </c>
      <c r="J11" s="4" t="s">
        <v>361</v>
      </c>
      <c r="K11" s="4" t="s">
        <v>362</v>
      </c>
      <c r="L11" s="4" t="s">
        <v>363</v>
      </c>
    </row>
    <row r="12" spans="1:12" x14ac:dyDescent="0.25">
      <c r="A12" s="5" t="s">
        <v>379</v>
      </c>
      <c r="B12" s="5" t="s">
        <v>380</v>
      </c>
      <c r="C12" s="5" t="s">
        <v>381</v>
      </c>
      <c r="D12" s="5" t="s">
        <v>356</v>
      </c>
      <c r="E12" s="5" t="s">
        <v>357</v>
      </c>
      <c r="F12" s="5" t="s">
        <v>366</v>
      </c>
      <c r="G12" s="5" t="s">
        <v>367</v>
      </c>
      <c r="H12" s="5" t="s">
        <v>368</v>
      </c>
      <c r="I12" s="5" t="s">
        <v>125</v>
      </c>
      <c r="J12" s="5" t="s">
        <v>382</v>
      </c>
      <c r="K12" s="5" t="s">
        <v>383</v>
      </c>
      <c r="L12" s="5" t="s">
        <v>384</v>
      </c>
    </row>
    <row r="13" spans="1:12" x14ac:dyDescent="0.25">
      <c r="A13" s="4" t="s">
        <v>379</v>
      </c>
      <c r="B13" s="4" t="s">
        <v>380</v>
      </c>
      <c r="C13" s="4" t="s">
        <v>381</v>
      </c>
      <c r="D13" s="4" t="s">
        <v>364</v>
      </c>
      <c r="E13" s="4" t="s">
        <v>365</v>
      </c>
      <c r="F13" s="4" t="s">
        <v>358</v>
      </c>
      <c r="G13" s="4" t="s">
        <v>359</v>
      </c>
      <c r="H13" s="4" t="s">
        <v>360</v>
      </c>
      <c r="I13" s="4" t="s">
        <v>114</v>
      </c>
      <c r="J13" s="4" t="s">
        <v>382</v>
      </c>
      <c r="K13" s="4" t="s">
        <v>383</v>
      </c>
      <c r="L13" s="4" t="s">
        <v>384</v>
      </c>
    </row>
    <row r="14" spans="1:12" x14ac:dyDescent="0.25">
      <c r="A14" s="5" t="s">
        <v>379</v>
      </c>
      <c r="B14" s="5" t="s">
        <v>380</v>
      </c>
      <c r="C14" s="5" t="s">
        <v>381</v>
      </c>
      <c r="D14" s="5" t="s">
        <v>385</v>
      </c>
      <c r="E14" s="5" t="s">
        <v>386</v>
      </c>
      <c r="F14" s="5" t="s">
        <v>358</v>
      </c>
      <c r="G14" s="5" t="s">
        <v>359</v>
      </c>
      <c r="H14" s="5" t="s">
        <v>360</v>
      </c>
      <c r="I14" s="5" t="s">
        <v>156</v>
      </c>
      <c r="J14" s="5" t="s">
        <v>382</v>
      </c>
      <c r="K14" s="5" t="s">
        <v>383</v>
      </c>
      <c r="L14" s="5" t="s">
        <v>384</v>
      </c>
    </row>
    <row r="15" spans="1:12" x14ac:dyDescent="0.25">
      <c r="A15" s="4" t="s">
        <v>379</v>
      </c>
      <c r="B15" s="4" t="s">
        <v>380</v>
      </c>
      <c r="C15" s="4" t="s">
        <v>381</v>
      </c>
      <c r="D15" s="4" t="s">
        <v>387</v>
      </c>
      <c r="E15" s="4" t="s">
        <v>388</v>
      </c>
      <c r="F15" s="4" t="s">
        <v>366</v>
      </c>
      <c r="G15" s="4" t="s">
        <v>367</v>
      </c>
      <c r="H15" s="4" t="s">
        <v>368</v>
      </c>
      <c r="I15" s="4" t="s">
        <v>162</v>
      </c>
      <c r="J15" s="4" t="s">
        <v>382</v>
      </c>
      <c r="K15" s="4" t="s">
        <v>383</v>
      </c>
      <c r="L15" s="4" t="s">
        <v>384</v>
      </c>
    </row>
    <row r="16" spans="1:12" x14ac:dyDescent="0.25">
      <c r="A16" s="5" t="s">
        <v>379</v>
      </c>
      <c r="B16" s="5" t="s">
        <v>380</v>
      </c>
      <c r="C16" s="5" t="s">
        <v>381</v>
      </c>
      <c r="D16" s="5" t="s">
        <v>389</v>
      </c>
      <c r="E16" s="5" t="s">
        <v>390</v>
      </c>
      <c r="F16" s="5" t="s">
        <v>358</v>
      </c>
      <c r="G16" s="5" t="s">
        <v>359</v>
      </c>
      <c r="H16" s="5" t="s">
        <v>360</v>
      </c>
      <c r="I16" s="5" t="s">
        <v>167</v>
      </c>
      <c r="J16" s="5" t="s">
        <v>382</v>
      </c>
      <c r="K16" s="5" t="s">
        <v>383</v>
      </c>
      <c r="L16" s="5" t="s">
        <v>384</v>
      </c>
    </row>
    <row r="17" spans="1:12" x14ac:dyDescent="0.25">
      <c r="A17" s="4" t="s">
        <v>379</v>
      </c>
      <c r="B17" s="4" t="s">
        <v>380</v>
      </c>
      <c r="C17" s="4" t="s">
        <v>381</v>
      </c>
      <c r="D17" s="4" t="s">
        <v>391</v>
      </c>
      <c r="E17" s="4" t="s">
        <v>392</v>
      </c>
      <c r="F17" s="4" t="s">
        <v>366</v>
      </c>
      <c r="G17" s="4" t="s">
        <v>367</v>
      </c>
      <c r="H17" s="4" t="s">
        <v>368</v>
      </c>
      <c r="I17" s="4" t="s">
        <v>177</v>
      </c>
      <c r="J17" s="4" t="s">
        <v>382</v>
      </c>
      <c r="K17" s="4" t="s">
        <v>383</v>
      </c>
      <c r="L17" s="4" t="s">
        <v>384</v>
      </c>
    </row>
    <row r="18" spans="1:12" x14ac:dyDescent="0.25">
      <c r="A18" s="5" t="s">
        <v>379</v>
      </c>
      <c r="B18" s="5" t="s">
        <v>380</v>
      </c>
      <c r="C18" s="5" t="s">
        <v>381</v>
      </c>
      <c r="D18" s="5" t="s">
        <v>393</v>
      </c>
      <c r="E18" s="5" t="s">
        <v>394</v>
      </c>
      <c r="F18" s="5" t="s">
        <v>366</v>
      </c>
      <c r="G18" s="5" t="s">
        <v>367</v>
      </c>
      <c r="H18" s="5" t="s">
        <v>368</v>
      </c>
      <c r="I18" s="5" t="s">
        <v>185</v>
      </c>
      <c r="J18" s="5" t="s">
        <v>382</v>
      </c>
      <c r="K18" s="5" t="s">
        <v>383</v>
      </c>
      <c r="L18" s="5" t="s">
        <v>384</v>
      </c>
    </row>
  </sheetData>
  <pageMargins left="0.7" right="0.7" top="0.75" bottom="0.75" header="0.3" footer="0.3"/>
  <pageSetup paperSize="9"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4"/>
  <sheetViews>
    <sheetView workbookViewId="0" showGridLines="0"/>
  </sheetViews>
  <sheetFormatPr defaultRowHeight="15" outlineLevelRow="0" outlineLevelCol="0" x14ac:dyDescent="55"/>
  <cols>
    <col min="1" max="1" width="120" customWidth="1"/>
    <col min="2" max="2" width="70" customWidth="1"/>
    <col min="3" max="5" width="40" customWidth="1"/>
    <col min="6" max="6" width="36" customWidth="1"/>
  </cols>
  <sheetData>
    <row r="1" spans="1:1" s="1" customFormat="1" x14ac:dyDescent="0.25">
      <c r="A1" s="1" t="s">
        <v>395</v>
      </c>
    </row>
    <row r="3" spans="1:6" x14ac:dyDescent="0.25">
      <c r="A3" s="3" t="s">
        <v>396</v>
      </c>
      <c r="B3" s="3" t="s">
        <v>397</v>
      </c>
      <c r="C3" s="3" t="s">
        <v>398</v>
      </c>
      <c r="D3" s="3" t="s">
        <v>399</v>
      </c>
      <c r="E3" s="3" t="s">
        <v>400</v>
      </c>
      <c r="F3" s="3" t="s">
        <v>113</v>
      </c>
    </row>
    <row r="4" spans="1:6" x14ac:dyDescent="0.25">
      <c r="A4" s="4" t="s">
        <v>401</v>
      </c>
      <c r="B4" s="4" t="s">
        <v>402</v>
      </c>
      <c r="C4" s="4" t="s">
        <v>403</v>
      </c>
      <c r="D4" s="4" t="s">
        <v>404</v>
      </c>
      <c r="E4" s="4" t="s">
        <v>405</v>
      </c>
      <c r="F4" s="4" t="s">
        <v>406</v>
      </c>
    </row>
    <row r="5" spans="1:6" x14ac:dyDescent="0.25">
      <c r="A5" s="5" t="s">
        <v>407</v>
      </c>
      <c r="B5" s="5" t="s">
        <v>408</v>
      </c>
      <c r="C5" s="5" t="s">
        <v>409</v>
      </c>
      <c r="D5" s="5" t="s">
        <v>410</v>
      </c>
      <c r="E5" s="5" t="s">
        <v>411</v>
      </c>
      <c r="F5" s="5" t="s">
        <v>412</v>
      </c>
    </row>
    <row r="6" spans="1:6" x14ac:dyDescent="0.25">
      <c r="A6" s="4" t="s">
        <v>413</v>
      </c>
      <c r="B6" s="4" t="s">
        <v>414</v>
      </c>
      <c r="C6" s="4" t="s">
        <v>415</v>
      </c>
      <c r="D6" s="4" t="s">
        <v>416</v>
      </c>
      <c r="E6" s="4" t="s">
        <v>417</v>
      </c>
      <c r="F6" s="4" t="s">
        <v>418</v>
      </c>
    </row>
    <row r="7" spans="1:6" x14ac:dyDescent="0.25">
      <c r="A7" s="5" t="s">
        <v>419</v>
      </c>
      <c r="B7" s="5" t="s">
        <v>420</v>
      </c>
      <c r="C7" s="5" t="s">
        <v>421</v>
      </c>
      <c r="D7" s="5" t="s">
        <v>422</v>
      </c>
      <c r="E7" s="5" t="s">
        <v>423</v>
      </c>
      <c r="F7" s="5" t="s">
        <v>424</v>
      </c>
    </row>
    <row r="9" spans="1:1" s="1" customFormat="1" x14ac:dyDescent="0.25">
      <c r="A9" s="1" t="s">
        <v>425</v>
      </c>
    </row>
    <row r="11" spans="1:3" x14ac:dyDescent="0.25">
      <c r="A11" s="3" t="s">
        <v>426</v>
      </c>
      <c r="B11" s="3" t="s">
        <v>427</v>
      </c>
      <c r="C11" s="3" t="s">
        <v>428</v>
      </c>
    </row>
    <row r="12" spans="1:3" x14ac:dyDescent="0.25">
      <c r="A12" s="4" t="s">
        <v>429</v>
      </c>
      <c r="B12" s="4" t="s">
        <v>430</v>
      </c>
      <c r="C12" s="4" t="s">
        <v>431</v>
      </c>
    </row>
    <row r="14" spans="1:1" s="1" customFormat="1" x14ac:dyDescent="0.25">
      <c r="A14" s="1" t="s">
        <v>432</v>
      </c>
    </row>
    <row r="15" spans="1:1" s="2" customFormat="1" x14ac:dyDescent="0.25">
      <c r="A15" s="2" t="s">
        <v>433</v>
      </c>
    </row>
    <row r="17" spans="1:2" x14ac:dyDescent="0.25">
      <c r="A17" s="3" t="s">
        <v>434</v>
      </c>
      <c r="B17" s="3" t="s">
        <v>435</v>
      </c>
    </row>
    <row r="18" spans="1:2" x14ac:dyDescent="0.25">
      <c r="A18" s="4" t="s">
        <v>436</v>
      </c>
      <c r="B18" s="4" t="s">
        <v>437</v>
      </c>
    </row>
    <row r="19" spans="1:2" x14ac:dyDescent="0.25">
      <c r="A19" s="5" t="s">
        <v>438</v>
      </c>
      <c r="B19" s="5" t="s">
        <v>439</v>
      </c>
    </row>
    <row r="20" spans="1:2" x14ac:dyDescent="0.25">
      <c r="A20" s="4" t="s">
        <v>440</v>
      </c>
      <c r="B20" s="4" t="s">
        <v>441</v>
      </c>
    </row>
    <row r="21" spans="1:2" x14ac:dyDescent="0.25">
      <c r="A21" s="5" t="s">
        <v>442</v>
      </c>
      <c r="B21" s="5" t="s">
        <v>443</v>
      </c>
    </row>
    <row r="22" spans="1:2" x14ac:dyDescent="0.25">
      <c r="A22" s="4" t="s">
        <v>444</v>
      </c>
      <c r="B22" s="4" t="s">
        <v>445</v>
      </c>
    </row>
    <row r="23" spans="1:2" x14ac:dyDescent="0.25">
      <c r="A23" s="5" t="s">
        <v>446</v>
      </c>
      <c r="B23" s="5" t="s">
        <v>447</v>
      </c>
    </row>
    <row r="24" spans="1:2" x14ac:dyDescent="0.25">
      <c r="A24" s="4" t="s">
        <v>448</v>
      </c>
      <c r="B24" s="4" t="s">
        <v>449</v>
      </c>
    </row>
    <row r="25" spans="1:2" x14ac:dyDescent="0.25">
      <c r="A25" s="5" t="s">
        <v>450</v>
      </c>
      <c r="B25" s="5" t="s">
        <v>451</v>
      </c>
    </row>
    <row r="27" spans="1:1" x14ac:dyDescent="0.25">
      <c r="A27" s="3" t="s">
        <v>452</v>
      </c>
    </row>
    <row r="28" spans="1:1" x14ac:dyDescent="0.25">
      <c r="A28" s="4" t="s">
        <v>453</v>
      </c>
    </row>
    <row r="29" spans="1:1" x14ac:dyDescent="0.25">
      <c r="A29" s="5" t="s">
        <v>454</v>
      </c>
    </row>
    <row r="30" spans="1:1" x14ac:dyDescent="0.25">
      <c r="A30" s="4" t="s">
        <v>455</v>
      </c>
    </row>
    <row r="31" spans="1:1" x14ac:dyDescent="0.25">
      <c r="A31" s="5" t="s">
        <v>456</v>
      </c>
    </row>
    <row r="32" spans="1:1" x14ac:dyDescent="0.25">
      <c r="A32" s="4" t="s">
        <v>457</v>
      </c>
    </row>
    <row r="33" spans="1:1" x14ac:dyDescent="0.25">
      <c r="A33" s="5" t="s">
        <v>458</v>
      </c>
    </row>
    <row r="34" spans="1:1" x14ac:dyDescent="0.25">
      <c r="A34" s="4" t="s">
        <v>459</v>
      </c>
    </row>
  </sheetData>
  <pageMargins left="0.7" right="0.7" top="0.75" bottom="0.75" header="0.3" footer="0.3"/>
  <pageSetup paperSize="9" orientation="landscape"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9"/>
  <sheetViews>
    <sheetView workbookViewId="0" showGridLines="0"/>
  </sheetViews>
  <sheetFormatPr defaultRowHeight="15" outlineLevelRow="0" outlineLevelCol="0" x14ac:dyDescent="55"/>
  <cols>
    <col min="1" max="2" width="28" customWidth="1"/>
    <col min="3" max="4" width="10" customWidth="1"/>
    <col min="5" max="5" width="44" customWidth="1"/>
    <col min="6" max="6" width="60" customWidth="1"/>
  </cols>
  <sheetData>
    <row r="1" spans="1:1" s="1" customFormat="1" x14ac:dyDescent="0.25">
      <c r="A1" s="1" t="s">
        <v>460</v>
      </c>
    </row>
    <row r="2" spans="1:1" s="2" customFormat="1" x14ac:dyDescent="0.25">
      <c r="A2" s="2" t="s">
        <v>461</v>
      </c>
    </row>
    <row r="4" spans="1:2" x14ac:dyDescent="0.25">
      <c r="A4" t="s">
        <v>462</v>
      </c>
      <c r="B4" s="6">
        <v>300</v>
      </c>
    </row>
    <row r="6" spans="1:6" x14ac:dyDescent="0.25">
      <c r="A6" s="3" t="s">
        <v>346</v>
      </c>
      <c r="B6" s="3" t="s">
        <v>463</v>
      </c>
      <c r="C6" s="3" t="s">
        <v>464</v>
      </c>
      <c r="D6" s="3" t="s">
        <v>465</v>
      </c>
      <c r="E6" s="3" t="s">
        <v>466</v>
      </c>
      <c r="F6" s="3" t="s">
        <v>467</v>
      </c>
    </row>
    <row r="7" spans="1:6" x14ac:dyDescent="0.25">
      <c r="A7" s="4" t="s">
        <v>358</v>
      </c>
      <c r="B7" s="4">
        <v>1679.3</v>
      </c>
      <c r="C7" s="4">
        <v>2399</v>
      </c>
      <c r="D7" s="4">
        <v>0.17</v>
      </c>
      <c r="E7" s="4">
        <v>47</v>
      </c>
      <c r="F7" s="4">
        <f>D7*$B$4</f>
      </c>
    </row>
    <row r="8" spans="1:6" x14ac:dyDescent="0.25">
      <c r="A8" s="5" t="s">
        <v>366</v>
      </c>
      <c r="B8" s="5">
        <v>1679.3</v>
      </c>
      <c r="C8" s="5">
        <v>2399</v>
      </c>
      <c r="D8" s="5">
        <v>0.17</v>
      </c>
      <c r="E8" s="5">
        <v>47</v>
      </c>
      <c r="F8" s="5">
        <f>D8*$B$4</f>
      </c>
    </row>
    <row r="10" spans="1:2" x14ac:dyDescent="0.25">
      <c r="A10" s="3" t="s">
        <v>468</v>
      </c>
      <c r="B10" s="3" t="s">
        <v>3</v>
      </c>
    </row>
    <row r="11" spans="1:2" x14ac:dyDescent="0.25">
      <c r="A11" s="4" t="s">
        <v>469</v>
      </c>
      <c r="B11" s="4">
        <v>150</v>
      </c>
    </row>
    <row r="12" spans="1:2" x14ac:dyDescent="0.25">
      <c r="A12" s="5" t="s">
        <v>470</v>
      </c>
      <c r="B12" s="5">
        <v>147</v>
      </c>
    </row>
    <row r="13" spans="1:2" x14ac:dyDescent="0.25">
      <c r="A13" s="4" t="s">
        <v>471</v>
      </c>
      <c r="B13" s="4">
        <v>0.7</v>
      </c>
    </row>
    <row r="14" spans="1:2" x14ac:dyDescent="0.25">
      <c r="A14" s="5" t="s">
        <v>472</v>
      </c>
      <c r="B14" s="5">
        <v>3</v>
      </c>
    </row>
    <row r="16" spans="1:6" x14ac:dyDescent="0.25">
      <c r="A16" s="3" t="s">
        <v>473</v>
      </c>
      <c r="B16" s="3" t="s">
        <v>474</v>
      </c>
      <c r="C16" s="3" t="s">
        <v>475</v>
      </c>
      <c r="D16" s="3" t="s">
        <v>476</v>
      </c>
      <c r="E16" s="3" t="s">
        <v>477</v>
      </c>
      <c r="F16" s="3" t="s">
        <v>113</v>
      </c>
    </row>
    <row r="17" spans="1:6" x14ac:dyDescent="0.25">
      <c r="A17" s="4" t="s">
        <v>478</v>
      </c>
      <c r="B17" s="4" t="s">
        <v>479</v>
      </c>
      <c r="C17" s="4">
        <v>1</v>
      </c>
      <c r="D17" s="4">
        <v>2</v>
      </c>
      <c r="E17" s="4" t="s">
        <v>480</v>
      </c>
      <c r="F17" s="4" t="s">
        <v>481</v>
      </c>
    </row>
    <row r="18" spans="1:6" x14ac:dyDescent="0.25">
      <c r="A18" s="5" t="s">
        <v>482</v>
      </c>
      <c r="B18" s="5" t="s">
        <v>483</v>
      </c>
      <c r="C18" s="5">
        <v>2</v>
      </c>
      <c r="D18" s="5">
        <v>4</v>
      </c>
      <c r="E18" s="5" t="s">
        <v>484</v>
      </c>
      <c r="F18" s="5" t="s">
        <v>485</v>
      </c>
    </row>
    <row r="19" spans="1:6" x14ac:dyDescent="0.25">
      <c r="A19" s="4" t="s">
        <v>486</v>
      </c>
      <c r="B19" s="4" t="s">
        <v>487</v>
      </c>
      <c r="C19" s="4">
        <v>2</v>
      </c>
      <c r="D19" s="4">
        <v>4</v>
      </c>
      <c r="E19" s="4" t="s">
        <v>488</v>
      </c>
      <c r="F19" s="4" t="s">
        <v>489</v>
      </c>
    </row>
  </sheetData>
  <pageMargins left="0.7" right="0.7" top="0.75" bottom="0.75" header="0.3" footer="0.3"/>
  <pageSetup paperSize="9"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4"/>
  <sheetViews>
    <sheetView workbookViewId="0" showGridLines="0"/>
  </sheetViews>
  <sheetFormatPr defaultRowHeight="15" outlineLevelRow="0" outlineLevelCol="0" x14ac:dyDescent="55"/>
  <cols>
    <col min="1" max="2" width="60" customWidth="1"/>
    <col min="3" max="3" width="40" customWidth="1"/>
  </cols>
  <sheetData>
    <row r="1" spans="1:1" s="1" customFormat="1" x14ac:dyDescent="0.25">
      <c r="A1" s="1" t="s">
        <v>490</v>
      </c>
    </row>
    <row r="3" spans="1:3" x14ac:dyDescent="0.25">
      <c r="A3" s="3" t="s">
        <v>491</v>
      </c>
      <c r="B3" s="3" t="s">
        <v>492</v>
      </c>
      <c r="C3" s="3" t="s">
        <v>493</v>
      </c>
    </row>
    <row r="4" spans="1:3" x14ac:dyDescent="0.25">
      <c r="A4" s="4" t="s">
        <v>60</v>
      </c>
      <c r="B4" s="4" t="s">
        <v>494</v>
      </c>
      <c r="C4" s="4" t="s">
        <v>495</v>
      </c>
    </row>
    <row r="5" spans="1:3" x14ac:dyDescent="0.25">
      <c r="A5" s="5" t="s">
        <v>52</v>
      </c>
      <c r="B5" s="5" t="s">
        <v>496</v>
      </c>
      <c r="C5" s="5" t="s">
        <v>497</v>
      </c>
    </row>
    <row r="6" spans="1:3" x14ac:dyDescent="0.25">
      <c r="A6" s="4" t="s">
        <v>60</v>
      </c>
      <c r="B6" s="4" t="s">
        <v>498</v>
      </c>
      <c r="C6" s="4" t="s">
        <v>499</v>
      </c>
    </row>
    <row r="7" spans="1:3" x14ac:dyDescent="0.25">
      <c r="A7" s="5" t="s">
        <v>500</v>
      </c>
      <c r="B7" s="5" t="s">
        <v>501</v>
      </c>
      <c r="C7" s="5" t="s">
        <v>502</v>
      </c>
    </row>
    <row r="8" spans="1:3" x14ac:dyDescent="0.25">
      <c r="A8" s="4" t="s">
        <v>500</v>
      </c>
      <c r="B8" s="4" t="s">
        <v>503</v>
      </c>
      <c r="C8" s="4" t="s">
        <v>504</v>
      </c>
    </row>
    <row r="9" spans="1:3" x14ac:dyDescent="0.25">
      <c r="A9" s="5" t="s">
        <v>500</v>
      </c>
      <c r="B9" s="5" t="s">
        <v>505</v>
      </c>
      <c r="C9" s="5" t="s">
        <v>506</v>
      </c>
    </row>
    <row r="10" spans="1:3" x14ac:dyDescent="0.25">
      <c r="A10" s="4" t="s">
        <v>500</v>
      </c>
      <c r="B10" s="4" t="s">
        <v>507</v>
      </c>
      <c r="C10" s="4" t="s">
        <v>508</v>
      </c>
    </row>
    <row r="11" spans="1:3" x14ac:dyDescent="0.25">
      <c r="A11" s="5" t="s">
        <v>500</v>
      </c>
      <c r="B11" s="5" t="s">
        <v>509</v>
      </c>
      <c r="C11" s="5" t="s">
        <v>510</v>
      </c>
    </row>
    <row r="12" spans="1:3" x14ac:dyDescent="0.25">
      <c r="A12" s="4" t="s">
        <v>500</v>
      </c>
      <c r="B12" s="4" t="s">
        <v>511</v>
      </c>
      <c r="C12" s="4" t="s">
        <v>512</v>
      </c>
    </row>
    <row r="14" spans="1:1" s="1" customFormat="1" x14ac:dyDescent="0.25">
      <c r="A14" s="1" t="s">
        <v>513</v>
      </c>
    </row>
    <row r="16" spans="1:3" x14ac:dyDescent="0.25">
      <c r="A16" s="3" t="s">
        <v>514</v>
      </c>
      <c r="B16" s="3" t="s">
        <v>515</v>
      </c>
      <c r="C16" s="3" t="s">
        <v>516</v>
      </c>
    </row>
    <row r="17" spans="1:3" x14ac:dyDescent="0.25">
      <c r="A17" s="4" t="s">
        <v>517</v>
      </c>
      <c r="B17" s="4" t="s">
        <v>518</v>
      </c>
      <c r="C17" s="4" t="s">
        <v>53</v>
      </c>
    </row>
    <row r="18" spans="1:3" x14ac:dyDescent="0.25">
      <c r="A18" s="5" t="s">
        <v>519</v>
      </c>
      <c r="B18" s="5" t="s">
        <v>520</v>
      </c>
      <c r="C18" s="5" t="s">
        <v>53</v>
      </c>
    </row>
    <row r="19" spans="1:3" x14ac:dyDescent="0.25">
      <c r="A19" s="4" t="s">
        <v>521</v>
      </c>
      <c r="B19" s="4" t="s">
        <v>522</v>
      </c>
      <c r="C19" s="4" t="s">
        <v>53</v>
      </c>
    </row>
    <row r="20" spans="1:3" x14ac:dyDescent="0.25">
      <c r="A20" s="5" t="s">
        <v>523</v>
      </c>
      <c r="B20" s="5" t="s">
        <v>524</v>
      </c>
      <c r="C20" s="5" t="s">
        <v>53</v>
      </c>
    </row>
    <row r="21" spans="1:3" x14ac:dyDescent="0.25">
      <c r="A21" s="4" t="s">
        <v>525</v>
      </c>
      <c r="B21" s="4" t="s">
        <v>526</v>
      </c>
      <c r="C21" s="4" t="s">
        <v>53</v>
      </c>
    </row>
    <row r="22" spans="1:3" x14ac:dyDescent="0.25">
      <c r="A22" s="5" t="s">
        <v>527</v>
      </c>
      <c r="B22" s="5" t="s">
        <v>528</v>
      </c>
      <c r="C22" s="5" t="s">
        <v>53</v>
      </c>
    </row>
    <row r="23" spans="1:3" x14ac:dyDescent="0.25">
      <c r="A23" s="4" t="s">
        <v>529</v>
      </c>
      <c r="B23" s="4" t="s">
        <v>530</v>
      </c>
      <c r="C23" s="4" t="s">
        <v>53</v>
      </c>
    </row>
    <row r="24" spans="1:3" x14ac:dyDescent="0.25">
      <c r="A24" s="5" t="s">
        <v>531</v>
      </c>
      <c r="B24" s="5" t="s">
        <v>532</v>
      </c>
      <c r="C24" s="5" t="s">
        <v>53</v>
      </c>
    </row>
  </sheetData>
  <pageMargins left="0.7" right="0.7" top="0.75" bottom="0.75" header="0.3" footer="0.3"/>
  <pageSetup paperSize="9"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3"/>
  <sheetViews>
    <sheetView workbookViewId="0" showGridLines="0"/>
  </sheetViews>
  <sheetFormatPr defaultRowHeight="15" outlineLevelRow="0" outlineLevelCol="0" x14ac:dyDescent="55"/>
  <cols>
    <col min="1" max="1" width="10" customWidth="1"/>
    <col min="2" max="2" width="14" customWidth="1"/>
    <col min="3" max="3" width="22" customWidth="1"/>
    <col min="4" max="4" width="80" customWidth="1"/>
  </cols>
  <sheetData>
    <row r="1" spans="1:1" s="1" customFormat="1" x14ac:dyDescent="0.25">
      <c r="A1" s="1" t="s">
        <v>533</v>
      </c>
    </row>
    <row r="3" spans="1:3" x14ac:dyDescent="0.25">
      <c r="A3" s="3" t="s">
        <v>534</v>
      </c>
      <c r="B3" s="3" t="s">
        <v>535</v>
      </c>
      <c r="C3" s="3" t="s">
        <v>536</v>
      </c>
    </row>
    <row r="4" spans="1:3" x14ac:dyDescent="0.25">
      <c r="A4" s="4" t="s">
        <v>537</v>
      </c>
      <c r="B4" s="4" t="s">
        <v>538</v>
      </c>
      <c r="C4" s="4" t="s">
        <v>539</v>
      </c>
    </row>
    <row r="5" spans="1:3" x14ac:dyDescent="0.25">
      <c r="A5" s="5" t="s">
        <v>540</v>
      </c>
      <c r="B5" s="5" t="s">
        <v>538</v>
      </c>
      <c r="C5" s="5" t="s">
        <v>53</v>
      </c>
    </row>
    <row r="6" spans="1:3" x14ac:dyDescent="0.25">
      <c r="A6" s="4" t="s">
        <v>541</v>
      </c>
      <c r="B6" s="4" t="s">
        <v>538</v>
      </c>
      <c r="C6" s="4" t="s">
        <v>53</v>
      </c>
    </row>
    <row r="7" spans="1:3" x14ac:dyDescent="0.25">
      <c r="A7" s="5" t="s">
        <v>542</v>
      </c>
      <c r="B7" s="5" t="s">
        <v>538</v>
      </c>
      <c r="C7" s="5" t="s">
        <v>53</v>
      </c>
    </row>
    <row r="8" spans="1:3" x14ac:dyDescent="0.25">
      <c r="A8" s="4" t="s">
        <v>543</v>
      </c>
      <c r="B8" s="4" t="s">
        <v>538</v>
      </c>
      <c r="C8" s="4" t="s">
        <v>53</v>
      </c>
    </row>
    <row r="9" spans="1:3" x14ac:dyDescent="0.25">
      <c r="A9" s="5" t="s">
        <v>544</v>
      </c>
      <c r="B9" s="5" t="s">
        <v>538</v>
      </c>
      <c r="C9" s="5" t="s">
        <v>53</v>
      </c>
    </row>
    <row r="10" spans="1:3" x14ac:dyDescent="0.25">
      <c r="A10" s="4" t="s">
        <v>545</v>
      </c>
      <c r="B10" s="4" t="s">
        <v>538</v>
      </c>
      <c r="C10" s="4" t="s">
        <v>53</v>
      </c>
    </row>
    <row r="11" spans="1:3" x14ac:dyDescent="0.25">
      <c r="A11" s="5" t="s">
        <v>546</v>
      </c>
      <c r="B11" s="5" t="s">
        <v>538</v>
      </c>
      <c r="C11" s="5" t="s">
        <v>53</v>
      </c>
    </row>
    <row r="12" spans="1:3" x14ac:dyDescent="0.25">
      <c r="A12" s="4" t="s">
        <v>547</v>
      </c>
      <c r="B12" s="4" t="s">
        <v>538</v>
      </c>
      <c r="C12" s="4" t="s">
        <v>53</v>
      </c>
    </row>
    <row r="13" spans="1:3" x14ac:dyDescent="0.25">
      <c r="A13" s="5" t="s">
        <v>548</v>
      </c>
      <c r="B13" s="5" t="s">
        <v>538</v>
      </c>
      <c r="C13" s="5" t="s">
        <v>53</v>
      </c>
    </row>
    <row r="14" spans="1:3" x14ac:dyDescent="0.25">
      <c r="A14" s="4" t="s">
        <v>549</v>
      </c>
      <c r="B14" s="4" t="s">
        <v>538</v>
      </c>
      <c r="C14" s="4" t="s">
        <v>53</v>
      </c>
    </row>
    <row r="15" spans="1:3" x14ac:dyDescent="0.25">
      <c r="A15" s="5" t="s">
        <v>550</v>
      </c>
      <c r="B15" s="5" t="s">
        <v>538</v>
      </c>
      <c r="C15" s="5" t="s">
        <v>53</v>
      </c>
    </row>
    <row r="16" spans="1:3" x14ac:dyDescent="0.25">
      <c r="A16" s="4" t="s">
        <v>551</v>
      </c>
      <c r="B16" s="4" t="s">
        <v>538</v>
      </c>
      <c r="C16" s="4" t="s">
        <v>53</v>
      </c>
    </row>
    <row r="17" spans="1:3" x14ac:dyDescent="0.25">
      <c r="A17" s="5" t="s">
        <v>552</v>
      </c>
      <c r="B17" s="5" t="s">
        <v>538</v>
      </c>
      <c r="C17" s="5" t="s">
        <v>53</v>
      </c>
    </row>
    <row r="18" spans="1:3" x14ac:dyDescent="0.25">
      <c r="A18" s="4" t="s">
        <v>553</v>
      </c>
      <c r="B18" s="4" t="s">
        <v>538</v>
      </c>
      <c r="C18" s="4" t="s">
        <v>53</v>
      </c>
    </row>
    <row r="20" spans="1:1" s="1" customFormat="1" x14ac:dyDescent="0.25">
      <c r="A20" s="1" t="s">
        <v>554</v>
      </c>
    </row>
    <row r="22" spans="1:4" x14ac:dyDescent="0.25">
      <c r="A22" s="3" t="s">
        <v>555</v>
      </c>
      <c r="B22" s="3" t="s">
        <v>556</v>
      </c>
      <c r="C22" s="3" t="s">
        <v>557</v>
      </c>
      <c r="D22" s="3" t="s">
        <v>558</v>
      </c>
    </row>
    <row r="23" spans="1:4" x14ac:dyDescent="0.25">
      <c r="A23" s="4" t="s">
        <v>559</v>
      </c>
      <c r="B23" s="4" t="s">
        <v>560</v>
      </c>
      <c r="C23" s="4" t="s">
        <v>561</v>
      </c>
      <c r="D23" s="4" t="s">
        <v>562</v>
      </c>
    </row>
  </sheetData>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POM_Spec</vt:lpstr>
      <vt:lpstr>BOM</vt:lpstr>
      <vt:lpstr>Construction</vt:lpstr>
      <vt:lpstr>Colorways</vt:lpstr>
      <vt:lpstr>Labels_Packaging_QC</vt:lpstr>
      <vt:lpstr>Consumption</vt:lpstr>
      <vt:lpstr>Assumptions</vt:lpstr>
      <vt:lpstr>Readiness_Revisions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Masdr Tech Pack</dc:creator>
  <dc:title/>
  <dc:subject/>
  <dc:description/>
  <cp:keywords/>
  <cp:category/>
  <cp:lastModifiedBy>Unknown</cp:lastModifiedBy>
  <dcterms:created xsi:type="dcterms:W3CDTF">2026-09-02T12:31:24Z</dcterms:created>
  <dcterms:modified xsi:type="dcterms:W3CDTF">2026-09-02T12:31:24Z</dcterms:modified>
</cp:coreProperties>
</file>